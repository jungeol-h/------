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4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2026NAVI\4기 모집 명단관리\"/>
    </mc:Choice>
  </mc:AlternateContent>
  <x:bookViews>
    <x:workbookView xWindow="0" yWindow="0" windowWidth="22812" windowHeight="8112" tabRatio="500"/>
  </x:bookViews>
  <x:sheets>
    <x:sheet name="설문지 응답 시트1" sheetId="1" r:id="rId4"/>
    <x:sheet name="월" sheetId="2" r:id="rId5"/>
    <x:sheet name="화" sheetId="3" r:id="rId6"/>
    <x:sheet name="금" sheetId="4" r:id="rId7"/>
    <x:sheet name="토" sheetId="5" r:id="rId8"/>
    <x:sheet name="일" sheetId="6" r:id="rId9"/>
    <x:sheet name="특강" sheetId="7" r:id="rId10"/>
    <x:sheet name="선택지관리" sheetId="8" r:id="rId11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<x:sst xmlns:r="http://schemas.openxmlformats.org/officeDocument/2006/relationships" xmlns:c="http://schemas.openxmlformats.org/drawingml/2006/chart" xmlns:x="http://schemas.openxmlformats.org/spreadsheetml/2006/main" count="1274" uniqueCount="263">
  <x:si>
    <x:t>SA1 (12:30 ~ 14:20) 수학, 국어, 자기주도학습 코칭, SA2 (13:30 ~ 15:20) 수학,과학, 국어, 자기주도학습 코칭, SA3 (14:30 ~ 16:20) 수학,과학, 국어, 자기주도학습 코칭</x:t>
  </x:si>
  <x:si>
    <x:t>SU1 (12:30 ~ 14:20) 수학, 국어, 자기주도학습 코칭, SU2 (13:30 ~ 15:20) 수학,영어, 국어, 자기주도학습 코칭, SU3 (14:30 ~ 16:20) 수학,영어, 국어, 자기주도학습 코칭</x:t>
  </x:si>
  <x:si>
    <x:t>01065037606</x:t>
  </x:si>
  <x:si>
    <x:t>01099458937</x:t>
  </x:si>
  <x:si>
    <x:t>01039811050</x:t>
  </x:si>
  <x:si>
    <x:t>SA2 (13:30 ~ 15:20) 수학,과학, 국어, 자기주도학습 코칭, SA3 (14:30 ~ 16:20) 수학,과학, 국어, 자기주도학습 코칭, SA4 (15:30 ~ 17:20) 수학,과학, 국어, 자기주도학습 코칭</x:t>
  </x:si>
  <x:si>
    <x:t>SA3 (14:30 ~ 16:20) 수학,과학, 국어, 자기주도학습 코칭, SA4 (15:30 ~ 17:20) 수학,과학, 국어, 자기주도학습 코칭, SA5 (16:30 ~ 19:00) 수학,과학, 국어, 자기주도학습 코칭</x:t>
  </x:si>
  <x:si>
    <x:t xml:space="preserve">010-6682-2636 </x:t>
  </x:si>
  <x:si>
    <x:t xml:space="preserve">김두성 </x:t>
  </x:si>
  <x:si>
    <x:t>SA3 (14:30 ~ 16:20) 수학,과학, 국어, 자기주도학습 코칭, SA5 (16:30 ~ 19:00) 수학,과학, 국어, 자기주도학습 코칭</x:t>
  </x:si>
  <x:si>
    <x:t>SA2 (13:30 ~ 15:20) 수학,과학, 국어, 자기주도학습 코칭, SA3 (14:30 ~ 16:20) 수학,과학, 국어, 자기주도학습 코칭</x:t>
  </x:si>
  <x:si>
    <x:t>SA3 (14:30 ~ 16:20) 수학,과학, 국어, 자기주도학습 코칭, SA4 (15:30 ~ 17:20) 수학,과학, 국어, 자기주도학습 코칭</x:t>
  </x:si>
  <x:si>
    <x:t>SU3 (14:30 ~ 16:20) 수학,영어, 국어, 자기주도학습 코칭, SU5 (16:30 ~ 19:00) 수학,영어, 국어, 자기주도학습 코칭</x:t>
  </x:si>
  <x:si>
    <x:t>SU3 (14:30 ~ 16:20) 수학,영어, 국어, 자기주도학습 코칭, SU4 (15:30 ~ 17:20) 수학,영어, 국어, 자기주도학습 코칭</x:t>
  </x:si>
  <x:si>
    <x:t>SU4 (15:30 ~ 17:20) 수학,영어, 국어, 자기주도학습 코칭, SU5 (16:30 ~ 19:00) 수학,영어, 국어, 자기주도학습 코칭</x:t>
  </x:si>
  <x:si>
    <x:t>SU2 (13:30 ~ 15:20) 수학,영어, 국어, 자기주도학습 코칭, SU3 (14:30 ~ 16:20) 수학,영어, 국어, 자기주도학습 코칭</x:t>
  </x:si>
  <x:si>
    <x:t>Kim1 (목요일 13:00~15:00) 중3 공학(기술, 기계, 자원, 반도체)</x:t>
  </x:si>
  <x:si>
    <x:t>학생 이름</x:t>
  </x:si>
  <x:si>
    <x:t>전화번호</x:t>
  </x:si>
  <x:si>
    <x:t>Lee3</x:t>
  </x:si>
  <x:si>
    <x:t xml:space="preserve">손민석 </x:t>
  </x:si>
  <x:si>
    <x:t>참여불가</x:t>
  </x:si>
  <x:si>
    <x:t>신청 안 함.</x:t>
  </x:si>
  <x:si>
    <x:t>타임스탬프</x:t>
  </x:si>
  <x:si>
    <x:t>Lee2</x:t>
  </x:si>
  <x:si>
    <x:t>문항구분</x:t>
  </x:si>
  <x:si>
    <x:t>Kim1</x:t>
  </x:si>
  <x:si>
    <x:t>Kim2</x:t>
  </x:si>
  <x:si>
    <x:t>응답범위</x:t>
  </x:si>
  <x:si>
    <x:t>[토요일]</x:t>
  </x:si>
  <x:si>
    <x:t>선택지문구</x:t>
  </x:si>
  <x:si>
    <x:t>현재신청</x:t>
  </x:si>
  <x:si>
    <x:t>항상표시</x:t>
  </x:si>
  <x:si>
    <x:t>[월요일]</x:t>
  </x:si>
  <x:si>
    <x:t>[화요일]</x:t>
  </x:si>
  <x:si>
    <x:t>[금요일]</x:t>
  </x:si>
  <x:si>
    <x:t xml:space="preserve">권수민 </x:t>
  </x:si>
  <x:si>
    <x:t>Lee1</x:t>
  </x:si>
  <x:si>
    <x:t>Kim3</x:t>
  </x:si>
  <x:si>
    <x:t>참여 불가</x:t>
  </x:si>
  <x:si>
    <x:t xml:space="preserve">김수환 </x:t>
  </x:si>
  <x:si>
    <x:t xml:space="preserve">서효령 </x:t>
  </x:si>
  <x:si>
    <x:t>전화번호 2</x:t>
  </x:si>
  <x:si>
    <x:t>[일요일]</x:t>
  </x:si>
  <x:si>
    <x:t>항상 표시</x:t>
  </x:si>
  <x:si>
    <x:t>신청 가능</x:t>
  </x:si>
  <x:si>
    <x:t>01045463881/01046881362</x:t>
  </x:si>
  <x:si>
    <x:t xml:space="preserve">진로 포트폴리오 특강 신청 (택1) </x:t>
  </x:si>
  <x:si>
    <x:t>010-8690-5147</x:t>
  </x:si>
  <x:si>
    <x:t>010-5428-7585</x:t>
  </x:si>
  <x:si>
    <x:t xml:space="preserve">010-6822-4385 </x:t>
  </x:si>
  <x:si>
    <x:t>010-8402-8152</x:t>
  </x:si>
  <x:si>
    <x:t>전우현</x:t>
  </x:si>
  <x:si>
    <x:t>SU1</x:t>
  </x:si>
  <x:si>
    <x:t>SU5</x:t>
  </x:si>
  <x:si>
    <x:t>SA2</x:t>
  </x:si>
  <x:si>
    <x:t>SA1</x:t>
  </x:si>
  <x:si>
    <x:t>SU4</x:t>
  </x:si>
  <x:si>
    <x:t>SU2</x:t>
  </x:si>
  <x:si>
    <x:t>SA3</x:t>
  </x:si>
  <x:si>
    <x:t>SA4</x:t>
  </x:si>
  <x:si>
    <x:t>SA5</x:t>
  </x:si>
  <x:si>
    <x:t>SU3</x:t>
  </x:si>
  <x:si>
    <x:t>토</x:t>
  </x:si>
  <x:si>
    <x:t>일</x:t>
  </x:si>
  <x:si>
    <x:t>권나현</x:t>
  </x:si>
  <x:si>
    <x:t>최용준</x:t>
  </x:si>
  <x:si>
    <x:t>김수원</x:t>
  </x:si>
  <x:si>
    <x:t>유아린</x:t>
  </x:si>
  <x:si>
    <x:t>김재원</x:t>
  </x:si>
  <x:si>
    <x:t>백현기</x:t>
  </x:si>
  <x:si>
    <x:t>이승현</x:t>
  </x:si>
  <x:si>
    <x:t>강은성</x:t>
  </x:si>
  <x:si>
    <x:t>김도영</x:t>
  </x:si>
  <x:si>
    <x:t>박가온</x:t>
  </x:si>
  <x:si>
    <x:t>최민혁</x:t>
  </x:si>
  <x:si>
    <x:t>.</x:t>
  </x:si>
  <x:si>
    <x:t>김서영</x:t>
  </x:si>
  <x:si>
    <x:t>장세아</x:t>
  </x:si>
  <x:si>
    <x:t>박진희</x:t>
  </x:si>
  <x:si>
    <x:t>박고수</x:t>
  </x:si>
  <x:si>
    <x:t>이현서</x:t>
  </x:si>
  <x:si>
    <x:t>황예람</x:t>
  </x:si>
  <x:si>
    <x:t>권윤희</x:t>
  </x:si>
  <x:si>
    <x:t>김시현</x:t>
  </x:si>
  <x:si>
    <x:t>신서현</x:t>
  </x:si>
  <x:si>
    <x:t>권하령</x:t>
  </x:si>
  <x:si>
    <x:t>박해솔</x:t>
  </x:si>
  <x:si>
    <x:t>강민채</x:t>
  </x:si>
  <x:si>
    <x:t>우지웅</x:t>
  </x:si>
  <x:si>
    <x:t>이정현</x:t>
  </x:si>
  <x:si>
    <x:t>권대원</x:t>
  </x:si>
  <x:si>
    <x:t>황예서</x:t>
  </x:si>
  <x:si>
    <x:t>이나라</x:t>
  </x:si>
  <x:si>
    <x:t>천유림</x:t>
  </x:si>
  <x:si>
    <x:t>김수현</x:t>
  </x:si>
  <x:si>
    <x:t>김서현</x:t>
  </x:si>
  <x:si>
    <x:t>문승해</x:t>
  </x:si>
  <x:si>
    <x:t>나혜나</x:t>
  </x:si>
  <x:si>
    <x:t>박주영</x:t>
  </x:si>
  <x:si>
    <x:t>김인영</x:t>
  </x:si>
  <x:si>
    <x:t>윤지원</x:t>
  </x:si>
  <x:si>
    <x:t>김가연</x:t>
  </x:si>
  <x:si>
    <x:t>이형원</x:t>
  </x:si>
  <x:si>
    <x:t>김태양</x:t>
  </x:si>
  <x:si>
    <x:t>심유은</x:t>
  </x:si>
  <x:si>
    <x:t>윤준성</x:t>
  </x:si>
  <x:si>
    <x:t>김민서</x:t>
  </x:si>
  <x:si>
    <x:t>손정호</x:t>
  </x:si>
  <x:si>
    <x:t>한수민</x:t>
  </x:si>
  <x:si>
    <x:t>김현주</x:t>
  </x:si>
  <x:si>
    <x:t>박나현</x:t>
  </x:si>
  <x:si>
    <x:t>유아인</x:t>
  </x:si>
  <x:si>
    <x:t>이유정</x:t>
  </x:si>
  <x:si>
    <x:t>구민경</x:t>
  </x:si>
  <x:si>
    <x:t>김서윤</x:t>
  </x:si>
  <x:si>
    <x:t>권태현</x:t>
  </x:si>
  <x:si>
    <x:t>010-7238-8972</x:t>
  </x:si>
  <x:si>
    <x:t>010-5389-1620</x:t>
  </x:si>
  <x:si>
    <x:t>010-5315-1250</x:t>
  </x:si>
  <x:si>
    <x:t>010-5448-4136</x:t>
  </x:si>
  <x:si>
    <x:t>010-2357-6150</x:t>
  </x:si>
  <x:si>
    <x:t>010-9546-9678</x:t>
  </x:si>
  <x:si>
    <x:t>010-9548-9678</x:t>
  </x:si>
  <x:si>
    <x:t>010-7365-8882</x:t>
  </x:si>
  <x:si>
    <x:t>010-8507-3934</x:t>
  </x:si>
  <x:si>
    <x:t>01065804846</x:t>
  </x:si>
  <x:si>
    <x:t>01022926401</x:t>
  </x:si>
  <x:si>
    <x:t>01099868808</x:t>
  </x:si>
  <x:si>
    <x:t>01062315530</x:t>
  </x:si>
  <x:si>
    <x:t>01037842510</x:t>
  </x:si>
  <x:si>
    <x:t>F4 (19:00 ~ 21:50)</x:t>
  </x:si>
  <x:si>
    <x:t>T1 (16:00 ~ 17:50)</x:t>
  </x:si>
  <x:si>
    <x:t>M3 (18:00 ~ 20:50)</x:t>
  </x:si>
  <x:si>
    <x:t>M4 (19:00 ~ 21:50)</x:t>
  </x:si>
  <x:si>
    <x:t>T4 (19:00 ~ 21:50)</x:t>
  </x:si>
  <x:si>
    <x:t>M1 (16:00 ~ 17:50)</x:t>
  </x:si>
  <x:si>
    <x:t>F1 (16:00 ~ 17:50)</x:t>
  </x:si>
  <x:si>
    <x:t>비교과 계열심화 자연계열 심화반</x:t>
  </x:si>
  <x:si>
    <x:t>M2 (17:00 ~ 19:50)</x:t>
  </x:si>
  <x:si>
    <x:t>설문지 응답 시트1'!$D$2:$D</x:t>
  </x:si>
  <x:si>
    <x:t>설문지 응답 시트1'!$E$2:$E</x:t>
  </x:si>
  <x:si>
    <x:t>설문지 응답 시트1'!$F$2:$F</x:t>
  </x:si>
  <x:si>
    <x:t>설문지 응답 시트1'!$G$2:$G</x:t>
  </x:si>
  <x:si>
    <x:t>설문지 응답 시트1'!$H$2:$H</x:t>
  </x:si>
  <x:si>
    <x:t>설문지 응답 시트1'!$I$2:$J</x:t>
  </x:si>
  <x:si>
    <x:t>설문지 응답 시트1'!$K$2:$K</x:t>
  </x:si>
  <x:si>
    <x:t>F2 (17:00 ~ 19:50), F3 (18:00 ~ 20:50), F4 (19:00 ~ 21:50)</x:t>
  </x:si>
  <x:si>
    <x:t xml:space="preserve">  [화요일] 참여 가능 블록 선택 (중복 선택 가능)  
*자기주도학습코칭
*국어 컨설팅
*독서루틴</x:t>
  </x:si>
  <x:si>
    <x:t>T2 (17:00 ~ 19:50), T3 (18:00 ~ 20:50), T4 (19:00 ~ 21:50)</x:t>
  </x:si>
  <x:si>
    <x:t xml:space="preserve">  [월요일] 참여 가능 블록 선택 (중복 선택 가능)  
*자기주도학습코칭
*국어 컨설팅
*독서루틴</x:t>
  </x:si>
  <x:si>
    <x:t xml:space="preserve">  [금요일] 참여 가능 블록 선택 (중복 선택 가능)  
*자기주도학습코칭
*영어 컨설팅
*독서루틴</x:t>
  </x:si>
  <x:si>
    <x:t>M2 (17:00 ~ 19:50), M3 (18:00 ~ 20:50), M4 (19:00 ~ 21:50)</x:t>
  </x:si>
  <x:si>
    <x:t>P1(월/화요일 12:00~14:00) 중1,2 B그룹 - 진로가 없거나 잘 모르거나 고민 중인 경우</x:t>
  </x:si>
  <x:si>
    <x:t>01098980179</x:t>
  </x:si>
  <x:si>
    <x:t>01086116004</x:t>
  </x:si>
  <x:si>
    <x:t>비교과 계열심화 특강</x:t>
  </x:si>
  <x:si>
    <x:t>01086386462</x:t>
  </x:si>
  <x:si>
    <x:t>01089976686</x:t>
  </x:si>
  <x:si>
    <x:t>01030467974</x:t>
  </x:si>
  <x:si>
    <x:t>01048218040</x:t>
  </x:si>
  <x:si>
    <x:t>01049662729</x:t>
  </x:si>
  <x:si>
    <x:t>01036104926</x:t>
  </x:si>
  <x:si>
    <x:t>01030139569</x:t>
  </x:si>
  <x:si>
    <x:t>01065341160</x:t>
  </x:si>
  <x:si>
    <x:t>01099190773</x:t>
  </x:si>
  <x:si>
    <x:t>01039530626</x:t>
  </x:si>
  <x:si>
    <x:t>01083202716</x:t>
  </x:si>
  <x:si>
    <x:t>01027045067</x:t>
  </x:si>
  <x:si>
    <x:t>01094804479</x:t>
  </x:si>
  <x:si>
    <x:t>01098036742</x:t>
  </x:si>
  <x:si>
    <x:t>01039453870</x:t>
  </x:si>
  <x:si>
    <x:t>01082508429</x:t>
  </x:si>
  <x:si>
    <x:t>01096393603</x:t>
  </x:si>
  <x:si>
    <x:t>01020732087</x:t>
  </x:si>
  <x:si>
    <x:t>01037065017</x:t>
  </x:si>
  <x:si>
    <x:t>01076555964</x:t>
  </x:si>
  <x:si>
    <x:t>01040201766</x:t>
  </x:si>
  <x:si>
    <x:t>01044693573</x:t>
  </x:si>
  <x:si>
    <x:t>01063731328</x:t>
  </x:si>
  <x:si>
    <x:t>01066714209</x:t>
  </x:si>
  <x:si>
    <x:t>01033992549</x:t>
  </x:si>
  <x:si>
    <x:t>01068444385</x:t>
  </x:si>
  <x:si>
    <x:t>01065610826</x:t>
  </x:si>
  <x:si>
    <x:t>01022047065</x:t>
  </x:si>
  <x:si>
    <x:t>01053803658</x:t>
  </x:si>
  <x:si>
    <x:t>01093737410</x:t>
  </x:si>
  <x:si>
    <x:t>01094929077</x:t>
  </x:si>
  <x:si>
    <x:t>01028340789</x:t>
  </x:si>
  <x:si>
    <x:t>SA2 (13:30 ~ 15:20) 수학,과학, 국어, 자기주도학습 코칭, SA3 (14:30 ~ 16:20) 수학,과학, 국어, 자기주도학습 코칭, SA4 (15:30 ~ 17:20) 수학,과학, 국어, 자기주도학습 코칭, SA5 (16:30 ~ 19:00) 수학,과학, 국어, 자기주도학습 코칭</x:t>
  </x:si>
  <x:si>
    <x:t>SU2 (13:30 ~ 15:20) 수학,영어, 국어, 자기주도학습 코칭, SU3 (14:30 ~ 16:20) 수학,영어, 국어, 자기주도학습 코칭, SU4 (15:30 ~ 17:20) 수학,영어, 국어, 자기주도학습 코칭, SU5 (16:30 ~ 19:00) 수학,영어, 국어, 자기주도학습 코칭</x:t>
  </x:si>
  <x:si>
    <x:t>SU1 (12:30 ~ 14:20) 수학, 국어, 자기주도학습 코칭, SU2 (13:30 ~ 15:20) 수학,영어, 국어, 자기주도학습 코칭, SU3 (14:30 ~ 16:20) 수학,영어, 국어, 자기주도학습 코칭, SU4 (15:30 ~ 17:20) 수학,영어, 국어, 자기주도학습 코칭</x:t>
  </x:si>
  <x:si>
    <x:t>T3 (18:00 ~ 20:50)</x:t>
  </x:si>
  <x:si>
    <x:t>F3 (18:00 ~ 20:50)</x:t>
  </x:si>
  <x:si>
    <x:t>T2 (17:00 ~ 19:50)</x:t>
  </x:si>
  <x:si>
    <x:t>F2 (17:00 ~ 19:50)</x:t>
  </x:si>
  <x:si>
    <x:t>Lee2 (목요일 15:00~17:00) 중3 미디어 콘텐츠 커뮤니케이션(인터넷 및 방송 분야)</x:t>
  </x:si>
  <x:si>
    <x:t>Kim3 (목요일 17:00~19:00) 중3 의보건약학 계열(의, 치의, 한의, 수의, 간호 등)</x:t>
  </x:si>
  <x:si>
    <x:t>F3 (18:00 ~ 20:50), F4 (19:00 ~ 21:50)</x:t>
  </x:si>
  <x:si>
    <x:t>M3 (18:00 ~ 20:50), M4 (19:00 ~ 21:50)</x:t>
  </x:si>
  <x:si>
    <x:t>T3 (18:00 ~ 20:50), T4 (19:00 ~ 21:50)</x:t>
  </x:si>
  <x:si>
    <x:t>SU1 (12:30 ~ 14:20) 수학, 국어, 자기주도학습 코칭</x:t>
  </x:si>
  <x:si>
    <x:t>M1 (16:00 ~ 17:50), M3 (18:00 ~ 20:50)</x:t>
  </x:si>
  <x:si>
    <x:t>T2 (17:00 ~ 19:50), T4 (19:00 ~ 21:50)</x:t>
  </x:si>
  <x:si>
    <x:t>M1 (16:00 ~ 17:50), M2 (17:00 ~ 19:50)</x:t>
  </x:si>
  <x:si>
    <x:t>T1 (16:00 ~ 17:50), T2 (17:00 ~ 19:50)</x:t>
  </x:si>
  <x:si>
    <x:t>F1 (16:00 ~ 17:50), F4 (19:00 ~ 21:50)</x:t>
  </x:si>
  <x:si>
    <x:t>T1 (16:00 ~ 17:50), T3 (18:00 ~ 20:50)</x:t>
  </x:si>
  <x:si>
    <x:t>F1 (16:00 ~ 17:50), F2 (17:00 ~ 19:50)</x:t>
  </x:si>
  <x:si>
    <x:t>F1 (16:00 ~ 17:50), F3 (18:00 ~ 20:50)</x:t>
  </x:si>
  <x:si>
    <x:t>SA1 (12:30 ~ 14:20) 수학, 국어, 자기주도학습 코칭</x:t>
  </x:si>
  <x:si>
    <x:t>SU4 (15:30 ~ 17:20) 수학,영어, 국어, 자기주도학습 코칭, SU5 (16:30 ~ 19:00) 수학,영어, 국어, 자기주도학습 코칭, 참여 불가</x:t>
  </x:si>
  <x:si>
    <x:t>01021992665</x:t>
  </x:si>
  <x:si>
    <x:t>01093773503</x:t>
  </x:si>
  <x:si>
    <x:t>설문지문항검색어</x:t>
  </x:si>
  <x:si>
    <x:t>진로 포트폴리오 특강</x:t>
  </x:si>
  <x:si>
    <x:t xml:space="preserve"> [토요일] 참여 가능 블록 선택 (중복 선택 가능) 
*자기주도학습코칭
*수학, 과학, 국어 컨설팅
*독서루틴</x:t>
  </x:si>
  <x:si>
    <x:t xml:space="preserve"> [일요일] 참여 가능 블록 선택 (중복 선택 가능) 
*자기주도학습코칭
*수학, 영어, 국어 컨설팅
*독서루틴</x:t>
  </x:si>
  <x:si>
    <x:t>T1 (16:00 ~ 17:50), T2 (17:00 ~ 19:50), T3 (18:00 ~ 20:50), T4 (19:00 ~ 21:50)</x:t>
  </x:si>
  <x:si>
    <x:t>SA1 (12:30 ~ 14:20) 수학, 국어, 자기주도학습 코칭, SA2 (13:30 ~ 15:20) 수학,과학, 국어, 자기주도학습 코칭</x:t>
  </x:si>
  <x:si>
    <x:t>SU1 (12:30 ~ 14:20) 수학, 국어, 자기주도학습 코칭, SU2 (13:30 ~ 15:20) 수학,영어, 국어, 자기주도학습 코칭</x:t>
  </x:si>
  <x:si>
    <x:t>F1 (16:00 ~ 17:50), F2 (17:00 ~ 19:50), F3 (18:00 ~ 20:50), F4 (19:00 ~ 21:50)</x:t>
  </x:si>
  <x:si>
    <x:t>M1 (16:00 ~ 17:50), M2 (17:00 ~ 19:50), M3 (18:00 ~ 20:50), M4 (19:00 ~ 21:50)</x:t>
  </x:si>
  <x:si>
    <x:t>P2(월/화요일 14:00~16:00) 중3 A그룹 -고입 진로 세특대비</x:t>
  </x:si>
  <x:si>
    <x:t>Kim2 (목요일 15:00~17:00) 중2과학탐구보고서(과학주제탐구)</x:t>
  </x:si>
  <x:si>
    <x:t>SA3 (14:30 ~ 16:20) 수학,과학, 국어, 자기주도학습 코칭</x:t>
  </x:si>
  <x:si>
    <x:t>SU4 (15:30 ~ 17:20) 수학,영어, 국어, 자기주도학습 코칭</x:t>
  </x:si>
  <x:si>
    <x:t>SA4 (15:30 ~ 17:20) 수학,과학, 국어, 자기주도학습 코칭</x:t>
  </x:si>
  <x:si>
    <x:t>SU5 (16:30 ~ 19:00) 수학,영어, 국어, 자기주도학습 코칭</x:t>
  </x:si>
  <x:si>
    <x:t>SU2 (13:30 ~ 15:20) 수학,영어, 국어, 자기주도학습 코칭</x:t>
  </x:si>
  <x:si>
    <x:t>SU3 (14:30 ~ 16:20) 수학,영어, 국어, 자기주도학습 코칭</x:t>
  </x:si>
  <x:si>
    <x:t>SA2 (13:30 ~ 15:20) 수학,과학, 국어, 자기주도학습 코칭</x:t>
  </x:si>
  <x:si>
    <x:t>SA5 (16:30 ~ 19:00) 수학,과학, 국어, 자기주도학습 코칭</x:t>
  </x:si>
  <x:si>
    <x:t>SU1 (12:30 ~ 14:20) 수학, 국어, 자기주도학습 코칭, SU2 (13:30 ~ 15:20) 수학,영어, 국어, 자기주도학습 코칭, SU3 (14:30 ~ 16:20) 수학,영어, 국어, 자기주도학습 코칭, SU4 (15:30 ~ 17:20) 수학,영어, 국어, 자기주도학습 코칭, SU5 (16:30 ~ 19:00) 수학,영어, 국어, 자기주도학습 코칭</x:t>
  </x:si>
  <x:si>
    <x:t>SA1 (12:30 ~ 14:20) 수학, 국어, 자기주도학습 코칭, SA2 (13:30 ~ 15:20) 수학,과학, 국어, 자기주도학습 코칭, SA3 (14:30 ~ 16:20) 수학,과학, 국어, 자기주도학습 코칭, SA4 (15:30 ~ 17:20) 수학,과학, 국어, 자기주도학습 코칭, SA5 (16:30 ~ 19:00) 수학,과학, 국어, 자기주도학습 코칭</x:t>
  </x:si>
  <x:si>
    <x:t>Lee1 (목요일 13:00~15:00) 중1/2 독서</x:t>
  </x:si>
  <x:si>
    <x:t/>
  </x:si>
  <x:si>
    <x:t xml:space="preserve">김재현 </x:t>
  </x:si>
  <x:si>
    <x:t>Lee3 (목요일 17:00~19:00) 중3 금융비지니스(경제, 경영, 금융)</x:t>
  </x:si>
  <x:si>
    <x:t>M2</x:t>
  </x:si>
  <x:si>
    <x:t>류지호</x:t>
  </x:si>
  <x:si>
    <x:t>신민기</x:t>
  </x:si>
  <x:si>
    <x:t>M1</x:t>
  </x:si>
  <x:si>
    <x:t>T3</x:t>
  </x:si>
  <x:si>
    <x:t>T1</x:t>
  </x:si>
  <x:si>
    <x:t>T2</x:t>
  </x:si>
  <x:si>
    <x:t>T4</x:t>
  </x:si>
  <x:si>
    <x:t>P2</x:t>
  </x:si>
  <x:si>
    <x:t>M4</x:t>
  </x:si>
  <x:si>
    <x:t>F2</x:t>
  </x:si>
  <x:si>
    <x:t>F1</x:t>
  </x:si>
  <x:si>
    <x:t>F4</x:t>
  </x:si>
  <x:si>
    <x:t>F3</x:t>
  </x:si>
  <x:si>
    <x:t>M3</x:t>
  </x:si>
  <x:si>
    <x:t>코드</x:t>
  </x:si>
  <x:si>
    <x:t>정원</x:t>
  </x:si>
  <x:si>
    <x:t>P1</x:t>
  </x:si>
  <x:si>
    <x:t>상태</x:t>
  </x:si>
  <x:si>
    <x:t>비교과</x:t>
  </x:si>
  <x:si>
    <x:t>화</x:t>
  </x:si>
  <x:si>
    <x:t>금</x:t>
  </x:si>
  <x:si>
    <x:t>월</x:t>
  </x:si>
  <x:si>
    <x:t>진로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</x:si>
</x:sst>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\/d\/yyyy\ h:mm:ss"/>
  </x:numFmts>
  <x:fonts count="7"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0" fillId="0" borderId="0" xfId="0" applyFont="1" applyAlignment="1">
      <x:alignment horizontal="left" vertical="center"/>
    </x:xf>
    <x:xf numFmtId="164" fontId="0" fillId="0" borderId="0" xfId="0" applyNumberFormat="1" applyFont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0" xfId="0" quotePrefix="1" applyFont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0" xfId="0" applyFont="1" applyAlignment="1">
      <x:alignment horizontal="general" vertical="bottom"/>
    </x:xf>
    <x:xf numFmtId="0" fontId="0" fillId="0" borderId="0" xfId="0" applyFont="1">
      <x:alignment horizontal="general" vertical="bottom"/>
    </x:xf>
    <x:xf numFmtId="0" fontId="0" fillId="2" borderId="0" xfId="0" applyFont="1" applyFill="1" applyAlignment="1">
      <x:alignment horizontal="general" vertical="bottom"/>
    </x:xf>
    <x:xf numFmtId="0" fontId="0" fillId="0" borderId="0" xfId="0" quotePrefix="1" applyFont="1" applyAlignment="1">
      <x:alignment horizontal="general" vertical="bottom"/>
    </x:xf>
  </x:cellXfs>
  <x:cellStyles count="1">
    <x:cellStyle name="Normal" xfId="0" builtinId="0"/>
  </x:cellStyles>
  <x:dxfs count="5">
    <x:dxf>
      <x:fill>
        <x:patternFill patternType="solid">
          <x:fgColor rgb="ff5b3f86"/>
          <x:bgColor rgb="ff5b3f86"/>
        </x:patternFill>
      </x:fill>
    </x:dxf>
    <x:dxf>
      <x:fill>
        <x:patternFill patternType="solid">
          <x:fgColor rgb="ffffffff"/>
          <x:bgColor rgb="ffffffff"/>
        </x:patternFill>
      </x:fill>
    </x:dxf>
    <x:dxf>
      <x:fill>
        <x:patternFill patternType="solid">
          <x:fgColor rgb="fff8f9fa"/>
          <x:bgColor rgb="fff8f9fa"/>
        </x:patternFill>
      </x:fill>
    </x:dxf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  <x:dxf>
      <x:alignment wrapText="1"/>
    </x:dxf>
  </x:dxfs>
  <x:tableStyles count="1" defaultTableStyle="TableStyleMedium2" defaultPivotStyle="PivotStyleLight16">
    <x:tableStyle name="설문지 응답 시트1-style" pivot="0" table="1" count="4">
      <x:tableStyleElement type="wholeTable" size="0" dxfId="3"/>
      <x:tableStyleElement type="headerRow" size="1" dxfId="0"/>
      <x:tableStyleElement type="firstRowStripe" size="1" dxfId="1"/>
      <x:tableStyleElement type="secondRowStripe" size="1" dxfId="2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Form_Responses" displayName="Form_Responses" ref="A1:L63">
  <x:autoFilter ref="A1:L63"/>
  <x:tableColumns count="12">
    <x:tableColumn id="1" name="타임스탬프"/>
    <x:tableColumn id="2" name="학생 이름"/>
    <x:tableColumn id="3" name="전화번호"/>
    <x:tableColumn id="4" name="  [월요일] 참여 가능 블록 선택 (중복 선택 가능)  _x000A_*자기주도학습코칭_x000A_*국어 컨설팅_x000A_*독서루틴"/>
    <x:tableColumn id="5" name="  [화요일] 참여 가능 블록 선택 (중복 선택 가능)  _x000A_*자기주도학습코칭_x000A_*국어 컨설팅_x000A_*독서루틴"/>
    <x:tableColumn id="6" name="  [금요일] 참여 가능 블록 선택 (중복 선택 가능)  _x000A_*자기주도학습코칭_x000A_*영어 컨설팅_x000A_*독서루틴"/>
    <x:tableColumn id="7" name=" [토요일] 참여 가능 블록 선택 (중복 선택 가능) _x000A_*자기주도학습코칭_x000A_*수학, 과학, 국어 컨설팅_x000A_*독서루틴"/>
    <x:tableColumn id="8" name=" [일요일] 참여 가능 블록 선택 (중복 선택 가능) _x000A_*자기주도학습코칭_x000A_*수학, 영어, 국어 컨설팅_x000A_*독서루틴"/>
    <x:tableColumn id="9" name="비교과 계열심화 특강"/>
    <x:tableColumn id="10" name="비교과 계열심화 자연계열 심화반"/>
    <x:tableColumn id="11" name="진로 포트폴리오 특강 신청 (택1) "/>
    <x:tableColumn id="12" name="전화번호 2"/>
  </x:tableColumns>
  <x:tableStyleInfo name="TableStyleLight1" showFirstColumn="1" showLastColumn="1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L63"/>
  <x:sheetViews>
    <x:sheetView tabSelected="1" topLeftCell="A1" zoomScaleNormal="75" zoomScaleSheetLayoutView="100" workbookViewId="0">
      <x:pane xSplit="0" ySplit="1" topLeftCell="A2" activePane="bottomLeft" state="frozen"/>
      <x:selection pane="bottomLeft" activeCell="C8" activeCellId="0" sqref="C8:C8"/>
    </x:sheetView>
  </x:sheetViews>
  <x:sheetFormatPr defaultColWidth="12.62890625" defaultRowHeight="15.75" customHeight="1"/>
  <x:cols>
    <x:col min="1" max="3" width="18.87890625" customWidth="1"/>
    <x:col min="4" max="5" width="24.12890625" customWidth="1"/>
    <x:col min="6" max="6" width="68.125" customWidth="1"/>
    <x:col min="7" max="7" width="106.68359375" customWidth="1"/>
    <x:col min="8" max="8" width="23.25" customWidth="1"/>
    <x:col min="9" max="18" width="18.87890625" customWidth="1"/>
  </x:cols>
  <x:sheetData>
    <x:row r="1" spans="1:12" ht="22.5" customHeight="1">
      <x:c r="A1" s="1" t="s">
        <x:v>23</x:v>
      </x:c>
      <x:c r="B1" s="2" t="s">
        <x:v>17</x:v>
      </x:c>
      <x:c r="C1" s="2" t="s">
        <x:v>18</x:v>
      </x:c>
      <x:c r="D1" s="2" t="s">
        <x:v>150</x:v>
      </x:c>
      <x:c r="E1" s="1" t="s">
        <x:v>148</x:v>
      </x:c>
      <x:c r="F1" s="1" t="s">
        <x:v>151</x:v>
      </x:c>
      <x:c r="G1" s="1" t="s">
        <x:v>216</x:v>
      </x:c>
      <x:c r="H1" s="1" t="s">
        <x:v>217</x:v>
      </x:c>
      <x:c r="I1" s="1" t="s">
        <x:v>156</x:v>
      </x:c>
      <x:c r="J1" s="1" t="s">
        <x:v>138</x:v>
      </x:c>
      <x:c r="K1" s="1" t="s">
        <x:v>47</x:v>
      </x:c>
      <x:c r="L1" s="3" t="s">
        <x:v>42</x:v>
      </x:c>
    </x:row>
    <x:row r="2" spans="1:12" ht="22.5" customHeight="1">
      <x:c r="A2" s="4">
        <x:v>46217.752916736106</x:v>
      </x:c>
      <x:c r="B2" s="5" t="s">
        <x:v>95</x:v>
      </x:c>
      <x:c r="D2" s="5" t="s">
        <x:v>136</x:v>
      </x:c>
      <x:c r="E2" s="5" t="s">
        <x:v>205</x:v>
      </x:c>
      <x:c r="F2" s="5" t="s">
        <x:v>137</x:v>
      </x:c>
      <x:c r="G2" s="5" t="s">
        <x:v>189</x:v>
      </x:c>
      <x:c r="H2" s="5" t="s">
        <x:v>14</x:v>
      </x:c>
      <x:c r="I2" s="5" t="s">
        <x:v>197</x:v>
      </x:c>
      <x:c r="K2" s="5" t="s">
        <x:v>223</x:v>
      </x:c>
      <x:c r="L2" s="6" t="s">
        <x:v>154</x:v>
      </x:c>
    </x:row>
    <x:row r="3" spans="1:12" ht="22.5" customHeight="1">
      <x:c r="A3" s="4">
        <x:v>46217.75790423611</x:v>
      </x:c>
      <x:c r="B3" s="5" t="s">
        <x:v>93</x:v>
      </x:c>
      <x:c r="D3" s="5" t="s">
        <x:v>222</x:v>
      </x:c>
      <x:c r="E3" s="5" t="s">
        <x:v>218</x:v>
      </x:c>
      <x:c r="F3" s="5" t="s">
        <x:v>221</x:v>
      </x:c>
      <x:c r="G3" s="5" t="s">
        <x:v>39</x:v>
      </x:c>
      <x:c r="H3" s="5" t="s">
        <x:v>233</x:v>
      </x:c>
      <x:c r="I3" s="5" t="s">
        <x:v>197</x:v>
      </x:c>
      <x:c r="K3" s="5" t="s">
        <x:v>223</x:v>
      </x:c>
      <x:c r="L3" s="6" t="s">
        <x:v>155</x:v>
      </x:c>
    </x:row>
    <x:row r="4" spans="1:12" ht="22.5" customHeight="1">
      <x:c r="A4" s="4">
        <x:v>46217.759715046297</x:v>
      </x:c>
      <x:c r="B4" s="5" t="s">
        <x:v>98</x:v>
      </x:c>
      <x:c r="D4" s="5" t="s">
        <x:v>152</x:v>
      </x:c>
      <x:c r="E4" s="5" t="s">
        <x:v>149</x:v>
      </x:c>
      <x:c r="F4" s="5" t="s">
        <x:v>147</x:v>
      </x:c>
      <x:c r="G4" s="5" t="s">
        <x:v>234</x:v>
      </x:c>
      <x:c r="H4" s="5" t="s">
        <x:v>233</x:v>
      </x:c>
      <x:c r="I4" s="5" t="s">
        <x:v>197</x:v>
      </x:c>
      <x:c r="K4" s="5" t="s">
        <x:v>223</x:v>
      </x:c>
      <x:c r="L4" s="6" t="s">
        <x:v>157</x:v>
      </x:c>
    </x:row>
    <x:row r="5" spans="1:12" ht="22.5" customHeight="1">
      <x:c r="A5" s="4">
        <x:v>46217.760835682871</x:v>
      </x:c>
      <x:c r="B5" s="5" t="s">
        <x:v>74</x:v>
      </x:c>
      <x:c r="D5" s="5" t="s">
        <x:v>202</x:v>
      </x:c>
      <x:c r="E5" s="5" t="s">
        <x:v>207</x:v>
      </x:c>
      <x:c r="F5" s="5" t="s">
        <x:v>209</x:v>
      </x:c>
      <x:c r="G5" s="5" t="s">
        <x:v>210</x:v>
      </x:c>
      <x:c r="H5" s="5" t="s">
        <x:v>39</x:v>
      </x:c>
      <x:c r="I5" s="5" t="s">
        <x:v>224</x:v>
      </x:c>
      <x:c r="K5" s="5" t="s">
        <x:v>153</x:v>
      </x:c>
      <x:c r="L5" s="5" t="s">
        <x:v>120</x:v>
      </x:c>
    </x:row>
    <x:row r="6" spans="1:12" ht="22.5" customHeight="1">
      <x:c r="A6" s="4">
        <x:v>46217.770603344907</x:v>
      </x:c>
      <x:c r="B6" s="5" t="s">
        <x:v>80</x:v>
      </x:c>
      <x:c r="D6" s="5" t="s">
        <x:v>134</x:v>
      </x:c>
      <x:c r="E6" s="5" t="s">
        <x:v>135</x:v>
      </x:c>
      <x:c r="F6" s="5" t="s">
        <x:v>131</x:v>
      </x:c>
      <x:c r="G6" s="5" t="s">
        <x:v>225</x:v>
      </x:c>
      <x:c r="H6" s="5" t="s">
        <x:v>230</x:v>
      </x:c>
      <x:c r="I6" s="5" t="s">
        <x:v>196</x:v>
      </x:c>
      <x:c r="K6" s="5" t="s">
        <x:v>223</x:v>
      </x:c>
      <x:c r="L6" s="6" t="s">
        <x:v>160</x:v>
      </x:c>
    </x:row>
    <x:row r="7" spans="1:12" ht="22.5" customHeight="1">
      <x:c r="A7" s="4">
        <x:v>46217.771856504631</x:v>
      </x:c>
      <x:c r="B7" s="5" t="s">
        <x:v>94</x:v>
      </x:c>
      <x:c r="D7" s="5" t="s">
        <x:v>21</x:v>
      </x:c>
      <x:c r="E7" s="5" t="s">
        <x:v>132</x:v>
      </x:c>
      <x:c r="F7" s="5" t="s">
        <x:v>21</x:v>
      </x:c>
      <x:c r="G7" s="5" t="s">
        <x:v>39</x:v>
      </x:c>
      <x:c r="H7" s="5" t="s">
        <x:v>39</x:v>
      </x:c>
      <x:c r="I7" s="5" t="s">
        <x:v>22</x:v>
      </x:c>
      <x:c r="K7" s="5" t="s">
        <x:v>153</x:v>
      </x:c>
      <x:c r="L7" s="6" t="s">
        <x:v>161</x:v>
      </x:c>
    </x:row>
    <x:row r="8" spans="1:12" ht="22.5" customHeight="1">
      <x:c r="A8" s="4">
        <x:v>46217.772156342588</x:v>
      </x:c>
      <x:c r="B8" s="5" t="s">
        <x:v>96</x:v>
      </x:c>
      <x:c r="D8" s="5" t="s">
        <x:v>21</x:v>
      </x:c>
      <x:c r="E8" s="5" t="s">
        <x:v>205</x:v>
      </x:c>
      <x:c r="F8" s="5" t="s">
        <x:v>21</x:v>
      </x:c>
      <x:c r="G8" s="5" t="s">
        <x:v>39</x:v>
      </x:c>
      <x:c r="H8" s="5" t="s">
        <x:v>39</x:v>
      </x:c>
      <x:c r="I8" s="5" t="s">
        <x:v>22</x:v>
      </x:c>
      <x:c r="K8" s="5" t="s">
        <x:v>153</x:v>
      </x:c>
      <x:c r="L8" s="6" t="s">
        <x:v>158</x:v>
      </x:c>
    </x:row>
    <x:row r="9" spans="1:12" ht="22.5" customHeight="1">
      <x:c r="A9" s="4">
        <x:v>46217.780851898147</x:v>
      </x:c>
      <x:c r="B9" s="5" t="s">
        <x:v>97</x:v>
      </x:c>
      <x:c r="D9" s="5" t="s">
        <x:v>134</x:v>
      </x:c>
      <x:c r="E9" s="5" t="s">
        <x:v>135</x:v>
      </x:c>
      <x:c r="F9" s="5" t="s">
        <x:v>131</x:v>
      </x:c>
      <x:c r="G9" s="5" t="s">
        <x:v>9</x:v>
      </x:c>
      <x:c r="H9" s="5" t="s">
        <x:v>12</x:v>
      </x:c>
      <x:c r="I9" s="5" t="s">
        <x:v>197</x:v>
      </x:c>
      <x:c r="K9" s="5" t="s">
        <x:v>22</x:v>
      </x:c>
      <x:c r="L9" s="5" t="s">
        <x:v>117</x:v>
      </x:c>
    </x:row>
    <x:row r="10" spans="1:12" ht="22.5" customHeight="1">
      <x:c r="A10" s="4">
        <x:v>46217.78274603009</x:v>
      </x:c>
      <x:c r="B10" s="5" t="s">
        <x:v>79</x:v>
      </x:c>
      <x:c r="D10" s="5" t="s">
        <x:v>134</x:v>
      </x:c>
      <x:c r="E10" s="5" t="s">
        <x:v>135</x:v>
      </x:c>
      <x:c r="F10" s="5" t="s">
        <x:v>131</x:v>
      </x:c>
      <x:c r="G10" s="5" t="s">
        <x:v>227</x:v>
      </x:c>
      <x:c r="H10" s="5" t="s">
        <x:v>226</x:v>
      </x:c>
      <x:c r="I10" s="5" t="s">
        <x:v>16</x:v>
      </x:c>
      <x:c r="K10" s="5" t="s">
        <x:v>22</x:v>
      </x:c>
      <x:c r="L10" s="6" t="s">
        <x:v>159</x:v>
      </x:c>
    </x:row>
    <x:row r="11" spans="1:12" ht="22.5" customHeight="1">
      <x:c r="A11" s="4">
        <x:v>46217.798390787037</x:v>
      </x:c>
      <x:c r="B11" s="5" t="s">
        <x:v>101</x:v>
      </x:c>
      <x:c r="D11" s="5" t="s">
        <x:v>133</x:v>
      </x:c>
      <x:c r="E11" s="5" t="s">
        <x:v>192</x:v>
      </x:c>
      <x:c r="F11" s="5" t="s">
        <x:v>195</x:v>
      </x:c>
      <x:c r="G11" s="5" t="s">
        <x:v>39</x:v>
      </x:c>
      <x:c r="H11" s="5" t="s">
        <x:v>39</x:v>
      </x:c>
      <x:c r="I11" s="5" t="s">
        <x:v>22</x:v>
      </x:c>
      <x:c r="K11" s="5" t="s">
        <x:v>22</x:v>
      </x:c>
      <x:c r="L11" s="6" t="s">
        <x:v>162</x:v>
      </x:c>
    </x:row>
    <x:row r="12" spans="1:12" ht="22.5" customHeight="1">
      <x:c r="A12" s="4">
        <x:v>46217.81100494213</x:v>
      </x:c>
      <x:c r="B12" s="5" t="s">
        <x:v>69</x:v>
      </x:c>
      <x:c r="D12" s="5" t="s">
        <x:v>21</x:v>
      </x:c>
      <x:c r="E12" s="5" t="s">
        <x:v>132</x:v>
      </x:c>
      <x:c r="F12" s="5" t="s">
        <x:v>21</x:v>
      </x:c>
      <x:c r="G12" s="5" t="s">
        <x:v>231</x:v>
      </x:c>
      <x:c r="H12" s="5" t="s">
        <x:v>39</x:v>
      </x:c>
      <x:c r="I12" s="5" t="s">
        <x:v>235</x:v>
      </x:c>
      <x:c r="K12" s="5" t="s">
        <x:v>22</x:v>
      </x:c>
      <x:c r="L12" s="6" t="s">
        <x:v>168</x:v>
      </x:c>
    </x:row>
    <x:row r="13" spans="1:12" ht="22.5" customHeight="1">
      <x:c r="A13" s="4">
        <x:v>46217.821448298608</x:v>
      </x:c>
      <x:c r="B13" s="5" t="s">
        <x:v>78</x:v>
      </x:c>
      <x:c r="D13" s="5" t="s">
        <x:v>21</x:v>
      </x:c>
      <x:c r="E13" s="5" t="s">
        <x:v>21</x:v>
      </x:c>
      <x:c r="F13" s="5" t="s">
        <x:v>195</x:v>
      </x:c>
      <x:c r="G13" s="5" t="s">
        <x:v>227</x:v>
      </x:c>
      <x:c r="H13" s="5" t="s">
        <x:v>39</x:v>
      </x:c>
      <x:c r="I13" s="5" t="s">
        <x:v>22</x:v>
      </x:c>
      <x:c r="K13" s="5" t="s">
        <x:v>153</x:v>
      </x:c>
      <x:c r="L13" s="6" t="s">
        <x:v>127</x:v>
      </x:c>
    </x:row>
    <x:row r="14" spans="1:12" ht="22.5" customHeight="1">
      <x:c r="A14" s="4">
        <x:v>46217.84586645833</x:v>
      </x:c>
      <x:c r="B14" s="5" t="s">
        <x:v>65</x:v>
      </x:c>
      <x:c r="D14" s="5" t="s">
        <x:v>21</x:v>
      </x:c>
      <x:c r="E14" s="5" t="s">
        <x:v>21</x:v>
      </x:c>
      <x:c r="F14" s="5" t="s">
        <x:v>21</x:v>
      </x:c>
      <x:c r="G14" s="5" t="s">
        <x:v>231</x:v>
      </x:c>
      <x:c r="H14" s="5" t="s">
        <x:v>230</x:v>
      </x:c>
      <x:c r="I14" s="5" t="s">
        <x:v>22</x:v>
      </x:c>
      <x:c r="K14" s="5" t="s">
        <x:v>22</x:v>
      </x:c>
      <x:c r="L14" s="5" t="s">
        <x:v>118</x:v>
      </x:c>
    </x:row>
    <x:row r="15" spans="1:12" ht="22.5" customHeight="1">
      <x:c r="A15" s="4">
        <x:v>46217.847334398146</x:v>
      </x:c>
      <x:c r="B15" s="5" t="s">
        <x:v>75</x:v>
      </x:c>
      <x:c r="D15" s="5" t="s">
        <x:v>136</x:v>
      </x:c>
      <x:c r="E15" s="5" t="s">
        <x:v>132</x:v>
      </x:c>
      <x:c r="F15" s="5" t="s">
        <x:v>137</x:v>
      </x:c>
      <x:c r="G15" s="5" t="s">
        <x:v>11</x:v>
      </x:c>
      <x:c r="H15" s="5" t="s">
        <x:v>39</x:v>
      </x:c>
      <x:c r="I15" s="5" t="s">
        <x:v>235</x:v>
      </x:c>
      <x:c r="K15" s="5" t="s">
        <x:v>22</x:v>
      </x:c>
      <x:c r="L15" s="6" t="s">
        <x:v>130</x:v>
      </x:c>
    </x:row>
    <x:row r="16" spans="1:12" ht="22.5" customHeight="1">
      <x:c r="A16" s="4">
        <x:v>46217.851195833333</x:v>
      </x:c>
      <x:c r="B16" s="5" t="s">
        <x:v>66</x:v>
      </x:c>
      <x:c r="D16" s="5" t="s">
        <x:v>136</x:v>
      </x:c>
      <x:c r="E16" s="5" t="s">
        <x:v>21</x:v>
      </x:c>
      <x:c r="F16" s="5" t="s">
        <x:v>21</x:v>
      </x:c>
      <x:c r="G16" s="5" t="s">
        <x:v>225</x:v>
      </x:c>
      <x:c r="H16" s="5" t="s">
        <x:v>229</x:v>
      </x:c>
      <x:c r="I16" s="5" t="s">
        <x:v>22</x:v>
      </x:c>
      <x:c r="K16" s="5" t="s">
        <x:v>22</x:v>
      </x:c>
      <x:c r="L16" s="6" t="s">
        <x:v>166</x:v>
      </x:c>
    </x:row>
    <x:row r="17" spans="1:12" ht="22.5" customHeight="1">
      <x:c r="A17" s="4">
        <x:v>46217.851221643519</x:v>
      </x:c>
      <x:c r="B17" s="5" t="s">
        <x:v>100</x:v>
      </x:c>
      <x:c r="D17" s="5" t="s">
        <x:v>204</x:v>
      </x:c>
      <x:c r="E17" s="5" t="s">
        <x:v>205</x:v>
      </x:c>
      <x:c r="F17" s="5" t="s">
        <x:v>208</x:v>
      </x:c>
      <x:c r="G17" s="5" t="s">
        <x:v>5</x:v>
      </x:c>
      <x:c r="H17" s="5" t="s">
        <x:v>191</x:v>
      </x:c>
      <x:c r="I17" s="5" t="s">
        <x:v>22</x:v>
      </x:c>
      <x:c r="K17" s="5" t="s">
        <x:v>22</x:v>
      </x:c>
      <x:c r="L17" s="5" t="s">
        <x:v>119</x:v>
      </x:c>
    </x:row>
    <x:row r="18" spans="1:12" ht="22.5" customHeight="1">
      <x:c r="A18" s="4">
        <x:v>46217.851243368059</x:v>
      </x:c>
      <x:c r="B18" s="5" t="s">
        <x:v>75</x:v>
      </x:c>
      <x:c r="D18" s="5" t="s">
        <x:v>136</x:v>
      </x:c>
      <x:c r="E18" s="5" t="s">
        <x:v>132</x:v>
      </x:c>
      <x:c r="F18" s="5" t="s">
        <x:v>137</x:v>
      </x:c>
      <x:c r="G18" s="5" t="s">
        <x:v>225</x:v>
      </x:c>
      <x:c r="H18" s="5" t="s">
        <x:v>39</x:v>
      </x:c>
      <x:c r="I18" s="5" t="s">
        <x:v>235</x:v>
      </x:c>
      <x:c r="K18" s="5" t="s">
        <x:v>22</x:v>
      </x:c>
      <x:c r="L18" s="6" t="s">
        <x:v>130</x:v>
      </x:c>
    </x:row>
    <x:row r="19" spans="1:12" ht="22.5" customHeight="1">
      <x:c r="A19" s="4">
        <x:v>46217.857430856486</x:v>
      </x:c>
      <x:c r="B19" s="5" t="s">
        <x:v>99</x:v>
      </x:c>
      <x:c r="D19" s="5" t="s">
        <x:v>21</x:v>
      </x:c>
      <x:c r="E19" s="5" t="s">
        <x:v>21</x:v>
      </x:c>
      <x:c r="F19" s="5" t="s">
        <x:v>208</x:v>
      </x:c>
      <x:c r="G19" s="5" t="s">
        <x:v>234</x:v>
      </x:c>
      <x:c r="H19" s="5" t="s">
        <x:v>191</x:v>
      </x:c>
      <x:c r="I19" s="5" t="s">
        <x:v>22</x:v>
      </x:c>
      <x:c r="K19" s="5" t="s">
        <x:v>22</x:v>
      </x:c>
      <x:c r="L19" s="6" t="s">
        <x:v>129</x:v>
      </x:c>
    </x:row>
    <x:row r="20" spans="1:12" ht="22.5" customHeight="1">
      <x:c r="A20" s="4">
        <x:v>46217.858254120365</x:v>
      </x:c>
      <x:c r="B20" s="5" t="s">
        <x:v>36</x:v>
      </x:c>
      <x:c r="D20" s="5" t="s">
        <x:v>222</x:v>
      </x:c>
      <x:c r="E20" s="5" t="s">
        <x:v>218</x:v>
      </x:c>
      <x:c r="F20" s="5" t="s">
        <x:v>221</x:v>
      </x:c>
      <x:c r="G20" s="5" t="s">
        <x:v>234</x:v>
      </x:c>
      <x:c r="H20" s="5" t="s">
        <x:v>233</x:v>
      </x:c>
      <x:c r="I20" s="5" t="s">
        <x:v>196</x:v>
      </x:c>
      <x:c r="K20" s="5" t="s">
        <x:v>223</x:v>
      </x:c>
      <x:c r="L20" s="5" t="s">
        <x:v>7</x:v>
      </x:c>
    </x:row>
    <x:row r="21" spans="1:12" ht="22.5" customHeight="1">
      <x:c r="A21" s="4">
        <x:v>46217.906215949071</x:v>
      </x:c>
      <x:c r="B21" s="5" t="s">
        <x:v>84</x:v>
      </x:c>
      <x:c r="D21" s="5" t="s">
        <x:v>136</x:v>
      </x:c>
      <x:c r="E21" s="5" t="s">
        <x:v>21</x:v>
      </x:c>
      <x:c r="F21" s="5" t="s">
        <x:v>137</x:v>
      </x:c>
      <x:c r="G21" s="5" t="s">
        <x:v>10</x:v>
      </x:c>
      <x:c r="H21" s="5" t="s">
        <x:v>39</x:v>
      </x:c>
      <x:c r="I21" s="5" t="s">
        <x:v>22</x:v>
      </x:c>
      <x:c r="K21" s="5" t="s">
        <x:v>223</x:v>
      </x:c>
      <x:c r="L21" s="6" t="s">
        <x:v>170</x:v>
      </x:c>
    </x:row>
    <x:row r="22" spans="1:12" ht="22.5" customHeight="1">
      <x:c r="A22" s="4">
        <x:v>46217.907232662037</x:v>
      </x:c>
      <x:c r="B22" s="5" t="s">
        <x:v>71</x:v>
      </x:c>
      <x:c r="D22" s="5" t="s">
        <x:v>136</x:v>
      </x:c>
      <x:c r="E22" s="5" t="s">
        <x:v>21</x:v>
      </x:c>
      <x:c r="F22" s="5" t="s">
        <x:v>137</x:v>
      </x:c>
      <x:c r="G22" s="5" t="s">
        <x:v>10</x:v>
      </x:c>
      <x:c r="H22" s="5" t="s">
        <x:v>39</x:v>
      </x:c>
      <x:c r="I22" s="5" t="s">
        <x:v>22</x:v>
      </x:c>
      <x:c r="K22" s="5" t="s">
        <x:v>223</x:v>
      </x:c>
      <x:c r="L22" s="5" t="s">
        <x:v>76</x:v>
      </x:c>
    </x:row>
    <x:row r="23" spans="1:12" ht="22.5" customHeight="1">
      <x:c r="A23" s="4">
        <x:v>46217.927475185184</x:v>
      </x:c>
      <x:c r="B23" s="5" t="s">
        <x:v>81</x:v>
      </x:c>
      <x:c r="D23" s="5" t="s">
        <x:v>136</x:v>
      </x:c>
      <x:c r="E23" s="5" t="s">
        <x:v>21</x:v>
      </x:c>
      <x:c r="F23" s="5" t="s">
        <x:v>21</x:v>
      </x:c>
      <x:c r="G23" s="5" t="s">
        <x:v>227</x:v>
      </x:c>
      <x:c r="H23" s="5" t="s">
        <x:v>226</x:v>
      </x:c>
      <x:c r="I23" s="5" t="s">
        <x:v>224</x:v>
      </x:c>
      <x:c r="K23" s="5" t="s">
        <x:v>153</x:v>
      </x:c>
      <x:c r="L23" s="6" t="s">
        <x:v>167</x:v>
      </x:c>
    </x:row>
    <x:row r="24" spans="1:12" ht="22.5" customHeight="1">
      <x:c r="A24" s="4">
        <x:v>46217.927925266209</x:v>
      </x:c>
      <x:c r="B24" s="5" t="s">
        <x:v>70</x:v>
      </x:c>
      <x:c r="D24" s="5" t="s">
        <x:v>136</x:v>
      </x:c>
      <x:c r="E24" s="5" t="s">
        <x:v>132</x:v>
      </x:c>
      <x:c r="F24" s="5" t="s">
        <x:v>21</x:v>
      </x:c>
      <x:c r="G24" s="5" t="s">
        <x:v>231</x:v>
      </x:c>
      <x:c r="H24" s="5" t="s">
        <x:v>201</x:v>
      </x:c>
      <x:c r="I24" s="5" t="s">
        <x:v>22</x:v>
      </x:c>
      <x:c r="K24" s="5" t="s">
        <x:v>223</x:v>
      </x:c>
      <x:c r="L24" s="6" t="s">
        <x:v>163</x:v>
      </x:c>
    </x:row>
    <x:row r="25" spans="1:12" ht="22.5" customHeight="1">
      <x:c r="A25" s="4">
        <x:v>46217.941208530094</x:v>
      </x:c>
      <x:c r="B25" s="5" t="s">
        <x:v>106</x:v>
      </x:c>
      <x:c r="D25" s="5" t="s">
        <x:v>21</x:v>
      </x:c>
      <x:c r="E25" s="5" t="s">
        <x:v>21</x:v>
      </x:c>
      <x:c r="F25" s="5" t="s">
        <x:v>21</x:v>
      </x:c>
      <x:c r="G25" s="5" t="s">
        <x:v>189</x:v>
      </x:c>
      <x:c r="H25" s="5" t="s">
        <x:v>39</x:v>
      </x:c>
      <x:c r="I25" s="5" t="s">
        <x:v>22</x:v>
      </x:c>
      <x:c r="K25" s="5" t="s">
        <x:v>22</x:v>
      </x:c>
      <x:c r="L25" s="5" t="s">
        <x:v>48</x:v>
      </x:c>
    </x:row>
    <x:row r="26" spans="1:12" ht="22.5" customHeight="1">
      <x:c r="A26" s="4">
        <x:v>46217.960741655093</x:v>
      </x:c>
      <x:c r="B26" s="5" t="s">
        <x:v>73</x:v>
      </x:c>
      <x:c r="D26" s="5" t="s">
        <x:v>21</x:v>
      </x:c>
      <x:c r="E26" s="5" t="s">
        <x:v>135</x:v>
      </x:c>
      <x:c r="F26" s="5" t="s">
        <x:v>21</x:v>
      </x:c>
      <x:c r="G26" s="5" t="s">
        <x:v>231</x:v>
      </x:c>
      <x:c r="H26" s="5" t="s">
        <x:v>39</x:v>
      </x:c>
      <x:c r="I26" s="5" t="s">
        <x:v>197</x:v>
      </x:c>
      <x:c r="K26" s="5" t="s">
        <x:v>22</x:v>
      </x:c>
      <x:c r="L26" s="5" t="s">
        <x:v>49</x:v>
      </x:c>
    </x:row>
    <x:row r="27" spans="1:12" ht="22.5" customHeight="1">
      <x:c r="A27" s="4">
        <x:v>46217.960838599538</x:v>
      </x:c>
      <x:c r="B27" s="5" t="s">
        <x:v>67</x:v>
      </x:c>
      <x:c r="D27" s="5" t="s">
        <x:v>21</x:v>
      </x:c>
      <x:c r="E27" s="5" t="s">
        <x:v>132</x:v>
      </x:c>
      <x:c r="F27" s="5" t="s">
        <x:v>137</x:v>
      </x:c>
      <x:c r="G27" s="5" t="s">
        <x:v>210</x:v>
      </x:c>
      <x:c r="H27" s="5" t="s">
        <x:v>39</x:v>
      </x:c>
      <x:c r="I27" s="5" t="s">
        <x:v>22</x:v>
      </x:c>
      <x:c r="K27" s="5" t="s">
        <x:v>22</x:v>
      </x:c>
      <x:c r="L27" s="6" t="s">
        <x:v>128</x:v>
      </x:c>
    </x:row>
    <x:row r="28" spans="1:12" ht="22.5" customHeight="1">
      <x:c r="A28" s="4">
        <x:v>46217.963024062497</x:v>
      </x:c>
      <x:c r="B28" s="5" t="s">
        <x:v>104</x:v>
      </x:c>
      <x:c r="D28" s="5" t="s">
        <x:v>21</x:v>
      </x:c>
      <x:c r="E28" s="5" t="s">
        <x:v>21</x:v>
      </x:c>
      <x:c r="F28" s="5" t="s">
        <x:v>21</x:v>
      </x:c>
      <x:c r="G28" s="5" t="s">
        <x:v>234</x:v>
      </x:c>
      <x:c r="H28" s="5" t="s">
        <x:v>190</x:v>
      </x:c>
      <x:c r="I28" s="5" t="s">
        <x:v>16</x:v>
      </x:c>
      <x:c r="K28" s="5" t="s">
        <x:v>223</x:v>
      </x:c>
      <x:c r="L28" s="6" t="s">
        <x:v>164</x:v>
      </x:c>
    </x:row>
    <x:row r="29" spans="1:12" ht="22.5" customHeight="1">
      <x:c r="A29" s="4">
        <x:v>46218.018422083333</x:v>
      </x:c>
      <x:c r="B29" s="5" t="s">
        <x:v>87</x:v>
      </x:c>
      <x:c r="D29" s="5" t="s">
        <x:v>133</x:v>
      </x:c>
      <x:c r="E29" s="5" t="s">
        <x:v>192</x:v>
      </x:c>
      <x:c r="F29" s="5" t="s">
        <x:v>193</x:v>
      </x:c>
      <x:c r="G29" s="5" t="s">
        <x:v>231</x:v>
      </x:c>
      <x:c r="H29" s="5" t="s">
        <x:v>229</x:v>
      </x:c>
      <x:c r="I29" s="5" t="s">
        <x:v>22</x:v>
      </x:c>
      <x:c r="K29" s="5" t="s">
        <x:v>223</x:v>
      </x:c>
      <x:c r="L29" s="6" t="s">
        <x:v>165</x:v>
      </x:c>
    </x:row>
    <x:row r="30" spans="1:12" ht="22.5" customHeight="1">
      <x:c r="A30" s="4">
        <x:v>46218.351624641204</x:v>
      </x:c>
      <x:c r="B30" s="5" t="s">
        <x:v>105</x:v>
      </x:c>
      <x:c r="D30" s="5" t="s">
        <x:v>222</x:v>
      </x:c>
      <x:c r="E30" s="5" t="s">
        <x:v>218</x:v>
      </x:c>
      <x:c r="F30" s="5" t="s">
        <x:v>221</x:v>
      </x:c>
      <x:c r="G30" s="5" t="s">
        <x:v>234</x:v>
      </x:c>
      <x:c r="H30" s="5" t="s">
        <x:v>233</x:v>
      </x:c>
      <x:c r="I30" s="5" t="s">
        <x:v>197</x:v>
      </x:c>
      <x:c r="K30" s="5" t="s">
        <x:v>223</x:v>
      </x:c>
      <x:c r="L30" s="6" t="s">
        <x:v>172</x:v>
      </x:c>
    </x:row>
    <x:row r="31" spans="1:12" ht="22.5" customHeight="1">
      <x:c r="A31" s="4">
        <x:v>46218.354087719912</x:v>
      </x:c>
      <x:c r="B31" s="5" t="s">
        <x:v>85</x:v>
      </x:c>
      <x:c r="D31" s="5" t="s">
        <x:v>136</x:v>
      </x:c>
      <x:c r="E31" s="5" t="s">
        <x:v>132</x:v>
      </x:c>
      <x:c r="F31" s="5" t="s">
        <x:v>137</x:v>
      </x:c>
      <x:c r="G31" s="5" t="s">
        <x:v>227</x:v>
      </x:c>
      <x:c r="H31" s="5" t="s">
        <x:v>230</x:v>
      </x:c>
      <x:c r="I31" s="5" t="s">
        <x:v>196</x:v>
      </x:c>
      <x:c r="K31" s="5" t="s">
        <x:v>22</x:v>
      </x:c>
      <x:c r="L31" s="6" t="s">
        <x:v>173</x:v>
      </x:c>
    </x:row>
    <x:row r="32" spans="1:12" ht="22.5" customHeight="1">
      <x:c r="A32" s="4">
        <x:v>46218.387645370371</x:v>
      </x:c>
      <x:c r="B32" s="5" t="s">
        <x:v>109</x:v>
      </x:c>
      <x:c r="D32" s="5" t="s">
        <x:v>202</x:v>
      </x:c>
      <x:c r="E32" s="5" t="s">
        <x:v>135</x:v>
      </x:c>
      <x:c r="F32" s="5" t="s">
        <x:v>198</x:v>
      </x:c>
      <x:c r="G32" s="5" t="s">
        <x:v>219</x:v>
      </x:c>
      <x:c r="H32" s="5" t="s">
        <x:v>233</x:v>
      </x:c>
      <x:c r="I32" s="5" t="s">
        <x:v>235</x:v>
      </x:c>
      <x:c r="K32" s="5" t="s">
        <x:v>153</x:v>
      </x:c>
      <x:c r="L32" s="6" t="s">
        <x:v>174</x:v>
      </x:c>
    </x:row>
    <x:row r="33" spans="1:12" ht="22.5" customHeight="1">
      <x:c r="A33" s="4">
        <x:v>46218.421789259257</x:v>
      </x:c>
      <x:c r="B33" s="5" t="s">
        <x:v>41</x:v>
      </x:c>
      <x:c r="D33" s="5" t="s">
        <x:v>21</x:v>
      </x:c>
      <x:c r="E33" s="5" t="s">
        <x:v>21</x:v>
      </x:c>
      <x:c r="F33" s="5" t="s">
        <x:v>137</x:v>
      </x:c>
      <x:c r="G33" s="5" t="s">
        <x:v>219</x:v>
      </x:c>
      <x:c r="H33" s="5" t="s">
        <x:v>220</x:v>
      </x:c>
      <x:c r="I33" s="5" t="s">
        <x:v>22</x:v>
      </x:c>
      <x:c r="K33" s="5" t="s">
        <x:v>22</x:v>
      </x:c>
      <x:c r="L33" s="5" t="s">
        <x:v>121</x:v>
      </x:c>
    </x:row>
    <x:row r="34" spans="1:12" ht="22.5" customHeight="1">
      <x:c r="A34" s="4">
        <x:v>46218.643887604165</x:v>
      </x:c>
      <x:c r="B34" s="5" t="s">
        <x:v>102</x:v>
      </x:c>
      <x:c r="D34" s="5" t="s">
        <x:v>134</x:v>
      </x:c>
      <x:c r="E34" s="5" t="s">
        <x:v>135</x:v>
      </x:c>
      <x:c r="F34" s="5" t="s">
        <x:v>131</x:v>
      </x:c>
      <x:c r="G34" s="5" t="s">
        <x:v>39</x:v>
      </x:c>
      <x:c r="H34" s="5" t="s">
        <x:v>39</x:v>
      </x:c>
      <x:c r="I34" s="5" t="s">
        <x:v>22</x:v>
      </x:c>
      <x:c r="K34" s="5" t="s">
        <x:v>22</x:v>
      </x:c>
      <x:c r="L34" s="6" t="s">
        <x:v>126</x:v>
      </x:c>
    </x:row>
    <x:row r="35" spans="1:12" ht="22.5" customHeight="1">
      <x:c r="A35" s="4">
        <x:v>46218.659530428238</x:v>
      </x:c>
      <x:c r="B35" s="5" t="s">
        <x:v>103</x:v>
      </x:c>
      <x:c r="D35" s="5" t="s">
        <x:v>136</x:v>
      </x:c>
      <x:c r="E35" s="5" t="s">
        <x:v>21</x:v>
      </x:c>
      <x:c r="F35" s="5" t="s">
        <x:v>137</x:v>
      </x:c>
      <x:c r="G35" s="5" t="s">
        <x:v>225</x:v>
      </x:c>
      <x:c r="H35" s="5" t="s">
        <x:v>15</x:v>
      </x:c>
      <x:c r="I35" s="5" t="s">
        <x:v>235</x:v>
      </x:c>
      <x:c r="K35" s="5" t="s">
        <x:v>153</x:v>
      </x:c>
      <x:c r="L35" s="5" t="s">
        <x:v>46</x:v>
      </x:c>
    </x:row>
    <x:row r="36" spans="1:12" ht="22.5" customHeight="1">
      <x:c r="A36" s="4">
        <x:v>46218.683028703701</x:v>
      </x:c>
      <x:c r="B36" s="5" t="s">
        <x:v>89</x:v>
      </x:c>
      <x:c r="D36" s="5" t="s">
        <x:v>136</x:v>
      </x:c>
      <x:c r="E36" s="5" t="s">
        <x:v>132</x:v>
      </x:c>
      <x:c r="F36" s="5" t="s">
        <x:v>21</x:v>
      </x:c>
      <x:c r="G36" s="5" t="s">
        <x:v>39</x:v>
      </x:c>
      <x:c r="H36" s="5" t="s">
        <x:v>201</x:v>
      </x:c>
      <x:c r="I36" s="5" t="s">
        <x:v>235</x:v>
      </x:c>
      <x:c r="K36" s="5" t="s">
        <x:v>22</x:v>
      </x:c>
      <x:c r="L36" s="5" t="s">
        <x:v>125</x:v>
      </x:c>
    </x:row>
    <x:row r="37" spans="1:12" ht="22.5" customHeight="1">
      <x:c r="A37" s="4">
        <x:v>46218.686940775464</x:v>
      </x:c>
      <x:c r="B37" s="5" t="s">
        <x:v>86</x:v>
      </x:c>
      <x:c r="D37" s="5" t="s">
        <x:v>21</x:v>
      </x:c>
      <x:c r="E37" s="5" t="s">
        <x:v>194</x:v>
      </x:c>
      <x:c r="F37" s="5" t="s">
        <x:v>137</x:v>
      </x:c>
      <x:c r="G37" s="5" t="s">
        <x:v>225</x:v>
      </x:c>
      <x:c r="H37" s="5" t="s">
        <x:v>201</x:v>
      </x:c>
      <x:c r="I37" s="5" t="s">
        <x:v>22</x:v>
      </x:c>
      <x:c r="K37" s="5" t="s">
        <x:v>22</x:v>
      </x:c>
      <x:c r="L37" s="6" t="s">
        <x:v>178</x:v>
      </x:c>
    </x:row>
    <x:row r="38" spans="1:12" ht="22.5" customHeight="1">
      <x:c r="A38" s="4">
        <x:v>46218.698865439816</x:v>
      </x:c>
      <x:c r="B38" s="5" t="s">
        <x:v>107</x:v>
      </x:c>
      <x:c r="D38" s="5" t="s">
        <x:v>199</x:v>
      </x:c>
      <x:c r="E38" s="5" t="s">
        <x:v>200</x:v>
      </x:c>
      <x:c r="F38" s="5" t="s">
        <x:v>198</x:v>
      </x:c>
      <x:c r="G38" s="5" t="s">
        <x:v>39</x:v>
      </x:c>
      <x:c r="H38" s="5" t="s">
        <x:v>39</x:v>
      </x:c>
      <x:c r="I38" s="5" t="s">
        <x:v>224</x:v>
      </x:c>
      <x:c r="K38" s="5" t="s">
        <x:v>22</x:v>
      </x:c>
      <x:c r="L38" s="6" t="s">
        <x:v>176</x:v>
      </x:c>
    </x:row>
    <x:row r="39" spans="1:12" ht="22.5" customHeight="1">
      <x:c r="A39" s="4">
        <x:v>46218.699028101852</x:v>
      </x:c>
      <x:c r="B39" s="5" t="s">
        <x:v>20</x:v>
      </x:c>
      <x:c r="D39" s="5" t="s">
        <x:v>21</x:v>
      </x:c>
      <x:c r="E39" s="5" t="s">
        <x:v>132</x:v>
      </x:c>
      <x:c r="F39" s="5" t="s">
        <x:v>21</x:v>
      </x:c>
      <x:c r="G39" s="5" t="s">
        <x:v>39</x:v>
      </x:c>
      <x:c r="H39" s="5" t="s">
        <x:v>201</x:v>
      </x:c>
      <x:c r="I39" s="5" t="s">
        <x:v>22</x:v>
      </x:c>
      <x:c r="K39" s="5" t="s">
        <x:v>153</x:v>
      </x:c>
      <x:c r="L39" s="6" t="s">
        <x:v>181</x:v>
      </x:c>
    </x:row>
    <x:row r="40" spans="1:12" ht="22.5" customHeight="1">
      <x:c r="A40" s="4">
        <x:v>46218.706071527777</x:v>
      </x:c>
      <x:c r="B40" s="5" t="s">
        <x:v>91</x:v>
      </x:c>
      <x:c r="D40" s="5" t="s">
        <x:v>21</x:v>
      </x:c>
      <x:c r="E40" s="5" t="s">
        <x:v>132</x:v>
      </x:c>
      <x:c r="F40" s="5" t="s">
        <x:v>221</x:v>
      </x:c>
      <x:c r="G40" s="5" t="s">
        <x:v>210</x:v>
      </x:c>
      <x:c r="H40" s="5" t="s">
        <x:v>201</x:v>
      </x:c>
      <x:c r="I40" s="5" t="s">
        <x:v>16</x:v>
      </x:c>
      <x:c r="K40" s="5" t="s">
        <x:v>223</x:v>
      </x:c>
      <x:c r="L40" s="6" t="s">
        <x:v>171</x:v>
      </x:c>
    </x:row>
    <x:row r="41" spans="1:12" ht="22.5" customHeight="1">
      <x:c r="A41" s="4">
        <x:v>46218.725435092594</x:v>
      </x:c>
      <x:c r="B41" s="5" t="s">
        <x:v>88</x:v>
      </x:c>
      <x:c r="D41" s="5" t="s">
        <x:v>134</x:v>
      </x:c>
      <x:c r="E41" s="5" t="s">
        <x:v>21</x:v>
      </x:c>
      <x:c r="F41" s="5" t="s">
        <x:v>131</x:v>
      </x:c>
      <x:c r="G41" s="5" t="s">
        <x:v>231</x:v>
      </x:c>
      <x:c r="H41" s="5" t="s">
        <x:v>229</x:v>
      </x:c>
      <x:c r="I41" s="5" t="s">
        <x:v>22</x:v>
      </x:c>
      <x:c r="K41" s="5" t="s">
        <x:v>153</x:v>
      </x:c>
      <x:c r="L41" s="6" t="s">
        <x:v>179</x:v>
      </x:c>
    </x:row>
    <x:row r="42" spans="1:12" ht="22.5" customHeight="1">
      <x:c r="A42" s="4">
        <x:v>46218.731458032409</x:v>
      </x:c>
      <x:c r="B42" s="5" t="s">
        <x:v>108</x:v>
      </x:c>
      <x:c r="D42" s="5" t="s">
        <x:v>136</x:v>
      </x:c>
      <x:c r="E42" s="5" t="s">
        <x:v>132</x:v>
      </x:c>
      <x:c r="F42" s="5" t="s">
        <x:v>137</x:v>
      </x:c>
      <x:c r="G42" s="5" t="s">
        <x:v>11</x:v>
      </x:c>
      <x:c r="H42" s="5" t="s">
        <x:v>13</x:v>
      </x:c>
      <x:c r="I42" s="5" t="s">
        <x:v>22</x:v>
      </x:c>
      <x:c r="K42" s="5" t="s">
        <x:v>153</x:v>
      </x:c>
      <x:c r="L42" s="6" t="s">
        <x:v>175</x:v>
      </x:c>
    </x:row>
    <x:row r="43" spans="1:12" ht="22.5" customHeight="1">
      <x:c r="A43" s="4">
        <x:v>46218.744613599541</x:v>
      </x:c>
      <x:c r="B43" s="5" t="s">
        <x:v>40</x:v>
      </x:c>
      <x:c r="D43" s="5" t="s">
        <x:v>136</x:v>
      </x:c>
      <x:c r="E43" s="5" t="s">
        <x:v>132</x:v>
      </x:c>
      <x:c r="F43" s="5" t="s">
        <x:v>21</x:v>
      </x:c>
      <x:c r="G43" s="5" t="s">
        <x:v>10</x:v>
      </x:c>
      <x:c r="H43" s="5" t="s">
        <x:v>211</x:v>
      </x:c>
      <x:c r="I43" s="5" t="s">
        <x:v>22</x:v>
      </x:c>
      <x:c r="K43" s="5" t="s">
        <x:v>22</x:v>
      </x:c>
      <x:c r="L43" s="6" t="s">
        <x:v>180</x:v>
      </x:c>
    </x:row>
    <x:row r="44" spans="1:12" ht="22.5" customHeight="1">
      <x:c r="A44" s="4">
        <x:v>46218.805448946761</x:v>
      </x:c>
      <x:c r="B44" s="5" t="s">
        <x:v>113</x:v>
      </x:c>
      <x:c r="D44" s="5" t="s">
        <x:v>152</x:v>
      </x:c>
      <x:c r="E44" s="5" t="s">
        <x:v>21</x:v>
      </x:c>
      <x:c r="F44" s="5" t="s">
        <x:v>147</x:v>
      </x:c>
      <x:c r="G44" s="5" t="s">
        <x:v>6</x:v>
      </x:c>
      <x:c r="H44" s="5" t="s">
        <x:v>39</x:v>
      </x:c>
      <x:c r="I44" s="5" t="s">
        <x:v>235</x:v>
      </x:c>
      <x:c r="K44" s="5" t="s">
        <x:v>153</x:v>
      </x:c>
      <x:c r="L44" s="6" t="s">
        <x:v>3</x:v>
      </x:c>
    </x:row>
    <x:row r="45" spans="1:12" ht="22.5" customHeight="1">
      <x:c r="A45" s="4">
        <x:v>46218.902712060182</x:v>
      </x:c>
      <x:c r="B45" s="5" t="s">
        <x:v>72</x:v>
      </x:c>
      <x:c r="D45" s="5" t="s">
        <x:v>21</x:v>
      </x:c>
      <x:c r="E45" s="5" t="s">
        <x:v>194</x:v>
      </x:c>
      <x:c r="F45" s="5" t="s">
        <x:v>21</x:v>
      </x:c>
      <x:c r="G45" s="5" t="s">
        <x:v>231</x:v>
      </x:c>
      <x:c r="H45" s="5" t="s">
        <x:v>39</x:v>
      </x:c>
      <x:c r="I45" s="5" t="s">
        <x:v>22</x:v>
      </x:c>
      <x:c r="K45" s="5" t="s">
        <x:v>22</x:v>
      </x:c>
      <x:c r="L45" s="6" t="s">
        <x:v>177</x:v>
      </x:c>
    </x:row>
    <x:row r="46" spans="1:12" ht="22.5" customHeight="1">
      <x:c r="A46" s="4">
        <x:v>46218.931134756946</x:v>
      </x:c>
      <x:c r="B46" s="5" t="s">
        <x:v>112</x:v>
      </x:c>
      <x:c r="D46" s="5" t="s">
        <x:v>21</x:v>
      </x:c>
      <x:c r="E46" s="5" t="s">
        <x:v>135</x:v>
      </x:c>
      <x:c r="F46" s="5" t="s">
        <x:v>21</x:v>
      </x:c>
      <x:c r="G46" s="5" t="s">
        <x:v>0</x:v>
      </x:c>
      <x:c r="H46" s="5" t="s">
        <x:v>1</x:v>
      </x:c>
      <x:c r="I46" s="5" t="s">
        <x:v>16</x:v>
      </x:c>
      <x:c r="K46" s="5" t="s">
        <x:v>223</x:v>
      </x:c>
      <x:c r="L46" s="6" t="s">
        <x:v>182</x:v>
      </x:c>
    </x:row>
    <x:row r="47" spans="1:12" ht="22.5" customHeight="1">
      <x:c r="A47" s="4">
        <x:v>46218.938083518515</x:v>
      </x:c>
      <x:c r="B47" s="5" t="s">
        <x:v>68</x:v>
      </x:c>
      <x:c r="D47" s="5" t="s">
        <x:v>134</x:v>
      </x:c>
      <x:c r="E47" s="5" t="s">
        <x:v>21</x:v>
      </x:c>
      <x:c r="F47" s="5" t="s">
        <x:v>131</x:v>
      </x:c>
      <x:c r="G47" s="5" t="s">
        <x:v>210</x:v>
      </x:c>
      <x:c r="H47" s="5" t="s">
        <x:v>39</x:v>
      </x:c>
      <x:c r="I47" s="5" t="s">
        <x:v>235</x:v>
      </x:c>
      <x:c r="K47" s="5" t="s">
        <x:v>153</x:v>
      </x:c>
      <x:c r="L47" s="5" t="s">
        <x:v>50</x:v>
      </x:c>
    </x:row>
    <x:row r="48" spans="1:12" ht="22.5" customHeight="1">
      <x:c r="A48" s="4">
        <x:v>46218.940850451385</x:v>
      </x:c>
      <x:c r="B48" s="5" t="s">
        <x:v>52</x:v>
      </x:c>
      <x:c r="D48" s="5" t="s">
        <x:v>133</x:v>
      </x:c>
      <x:c r="E48" s="5" t="s">
        <x:v>21</x:v>
      </x:c>
      <x:c r="F48" s="5" t="s">
        <x:v>131</x:v>
      </x:c>
      <x:c r="G48" s="5" t="s">
        <x:v>231</x:v>
      </x:c>
      <x:c r="H48" s="5" t="s">
        <x:v>229</x:v>
      </x:c>
      <x:c r="I48" s="5" t="s">
        <x:v>22</x:v>
      </x:c>
      <x:c r="K48" s="5" t="s">
        <x:v>22</x:v>
      </x:c>
      <x:c r="L48" s="6" t="s">
        <x:v>184</x:v>
      </x:c>
    </x:row>
    <x:row r="49" spans="1:12" ht="22.5" customHeight="1">
      <x:c r="A49" s="4">
        <x:v>46218.961784594911</x:v>
      </x:c>
      <x:c r="B49" s="5" t="s">
        <x:v>90</x:v>
      </x:c>
      <x:c r="D49" s="5" t="s">
        <x:v>21</x:v>
      </x:c>
      <x:c r="E49" s="5" t="s">
        <x:v>21</x:v>
      </x:c>
      <x:c r="F49" s="5" t="s">
        <x:v>131</x:v>
      </x:c>
      <x:c r="G49" s="5" t="s">
        <x:v>225</x:v>
      </x:c>
      <x:c r="H49" s="5" t="s">
        <x:v>230</x:v>
      </x:c>
      <x:c r="I49" s="5" t="s">
        <x:v>16</x:v>
      </x:c>
      <x:c r="K49" s="5" t="s">
        <x:v>153</x:v>
      </x:c>
      <x:c r="L49" s="6" t="s">
        <x:v>183</x:v>
      </x:c>
    </x:row>
    <x:row r="50" spans="1:12" ht="22.5" customHeight="1">
      <x:c r="A50" s="4">
        <x:v>46218.967326666665</x:v>
      </x:c>
      <x:c r="B50" s="5" t="s">
        <x:v>82</x:v>
      </x:c>
      <x:c r="D50" s="5" t="s">
        <x:v>21</x:v>
      </x:c>
      <x:c r="E50" s="5" t="s">
        <x:v>132</x:v>
      </x:c>
      <x:c r="F50" s="5" t="s">
        <x:v>21</x:v>
      </x:c>
      <x:c r="G50" s="5" t="s">
        <x:v>232</x:v>
      </x:c>
      <x:c r="H50" s="5" t="s">
        <x:v>228</x:v>
      </x:c>
      <x:c r="I50" s="5" t="s">
        <x:v>235</x:v>
      </x:c>
      <x:c r="K50" s="5" t="s">
        <x:v>22</x:v>
      </x:c>
      <x:c r="L50" s="5" t="s">
        <x:v>122</x:v>
      </x:c>
    </x:row>
    <x:row r="51" spans="1:12" ht="22.5" customHeight="1">
      <x:c r="A51" s="4">
        <x:v>46218.972283888885</x:v>
      </x:c>
      <x:c r="B51" s="5" t="s">
        <x:v>92</x:v>
      </x:c>
      <x:c r="D51" s="5" t="s">
        <x:v>21</x:v>
      </x:c>
      <x:c r="E51" s="5" t="s">
        <x:v>135</x:v>
      </x:c>
      <x:c r="F51" s="5" t="s">
        <x:v>195</x:v>
      </x:c>
      <x:c r="G51" s="5" t="s">
        <x:v>39</x:v>
      </x:c>
      <x:c r="H51" s="5" t="s">
        <x:v>226</x:v>
      </x:c>
      <x:c r="I51" s="5" t="s">
        <x:v>235</x:v>
      </x:c>
      <x:c r="K51" s="5" t="s">
        <x:v>22</x:v>
      </x:c>
      <x:c r="L51" s="5" t="s">
        <x:v>123</x:v>
      </x:c>
    </x:row>
    <x:row r="52" spans="1:12" ht="22.5" customHeight="1">
      <x:c r="A52" s="4">
        <x:v>46219.034151354164</x:v>
      </x:c>
      <x:c r="B52" s="5" t="s">
        <x:v>77</x:v>
      </x:c>
      <x:c r="D52" s="5" t="s">
        <x:v>21</x:v>
      </x:c>
      <x:c r="E52" s="5" t="s">
        <x:v>203</x:v>
      </x:c>
      <x:c r="F52" s="5" t="s">
        <x:v>21</x:v>
      </x:c>
      <x:c r="G52" s="5" t="s">
        <x:v>232</x:v>
      </x:c>
      <x:c r="H52" s="5" t="s">
        <x:v>12</x:v>
      </x:c>
      <x:c r="I52" s="5" t="s">
        <x:v>235</x:v>
      </x:c>
      <x:c r="K52" s="5" t="s">
        <x:v>22</x:v>
      </x:c>
      <x:c r="L52" s="6" t="s">
        <x:v>186</x:v>
      </x:c>
    </x:row>
    <x:row r="53" spans="1:12" ht="22.5" customHeight="1">
      <x:c r="A53" s="4">
        <x:v>46219.292397152778</x:v>
      </x:c>
      <x:c r="B53" s="5" t="s">
        <x:v>116</x:v>
      </x:c>
      <x:c r="D53" s="5" t="s">
        <x:v>133</x:v>
      </x:c>
      <x:c r="E53" s="5" t="s">
        <x:v>192</x:v>
      </x:c>
      <x:c r="F53" s="5" t="s">
        <x:v>193</x:v>
      </x:c>
      <x:c r="G53" s="5" t="s">
        <x:v>210</x:v>
      </x:c>
      <x:c r="H53" s="5" t="s">
        <x:v>201</x:v>
      </x:c>
      <x:c r="I53" s="5" t="s">
        <x:v>224</x:v>
      </x:c>
      <x:c r="K53" s="5" t="s">
        <x:v>153</x:v>
      </x:c>
      <x:c r="L53" s="6" t="s">
        <x:v>2</x:v>
      </x:c>
    </x:row>
    <x:row r="54" spans="1:12" ht="22.5" customHeight="1">
      <x:c r="A54" s="4">
        <x:v>46219.33281842593</x:v>
      </x:c>
      <x:c r="B54" s="5" t="s">
        <x:v>115</x:v>
      </x:c>
      <x:c r="D54" s="5" t="s">
        <x:v>21</x:v>
      </x:c>
      <x:c r="E54" s="5" t="s">
        <x:v>21</x:v>
      </x:c>
      <x:c r="F54" s="5" t="s">
        <x:v>21</x:v>
      </x:c>
      <x:c r="G54" s="5" t="s">
        <x:v>0</x:v>
      </x:c>
      <x:c r="H54" s="5" t="s">
        <x:v>1</x:v>
      </x:c>
      <x:c r="I54" s="5" t="s">
        <x:v>22</x:v>
      </x:c>
      <x:c r="K54" s="5" t="s">
        <x:v>153</x:v>
      </x:c>
      <x:c r="L54" s="5" t="s">
        <x:v>51</x:v>
      </x:c>
    </x:row>
    <x:row r="55" spans="1:12" ht="22.5" customHeight="1">
      <x:c r="A55" s="4">
        <x:v>46219.448098796296</x:v>
      </x:c>
      <x:c r="B55" s="5" t="s">
        <x:v>111</x:v>
      </x:c>
      <x:c r="D55" s="5" t="s">
        <x:v>21</x:v>
      </x:c>
      <x:c r="E55" s="5" t="s">
        <x:v>21</x:v>
      </x:c>
      <x:c r="F55" s="5" t="s">
        <x:v>206</x:v>
      </x:c>
      <x:c r="G55" s="5" t="s">
        <x:v>219</x:v>
      </x:c>
      <x:c r="H55" s="5" t="s">
        <x:v>39</x:v>
      </x:c>
      <x:c r="I55" s="5" t="s">
        <x:v>22</x:v>
      </x:c>
      <x:c r="K55" s="5" t="s">
        <x:v>22</x:v>
      </x:c>
      <x:c r="L55" s="6" t="s">
        <x:v>185</x:v>
      </x:c>
    </x:row>
    <x:row r="56" spans="1:12" ht="22.5" customHeight="1">
      <x:c r="A56" s="4">
        <x:v>46219.470191215281</x:v>
      </x:c>
      <x:c r="B56" s="5" t="s">
        <x:v>83</x:v>
      </x:c>
      <x:c r="D56" s="5" t="s">
        <x:v>21</x:v>
      </x:c>
      <x:c r="E56" s="5" t="s">
        <x:v>132</x:v>
      </x:c>
      <x:c r="F56" s="5" t="s">
        <x:v>137</x:v>
      </x:c>
      <x:c r="G56" s="5" t="s">
        <x:v>227</x:v>
      </x:c>
      <x:c r="H56" s="5" t="s">
        <x:v>229</x:v>
      </x:c>
      <x:c r="I56" s="5" t="s">
        <x:v>224</x:v>
      </x:c>
      <x:c r="K56" s="5" t="s">
        <x:v>22</x:v>
      </x:c>
      <x:c r="L56" s="5" t="s">
        <x:v>124</x:v>
      </x:c>
    </x:row>
    <x:row r="57" spans="1:12" ht="22.5" customHeight="1">
      <x:c r="A57" s="4">
        <x:v>46219.546530740743</x:v>
      </x:c>
      <x:c r="B57" s="5" t="s">
        <x:v>8</x:v>
      </x:c>
      <x:c r="D57" s="5" t="s">
        <x:v>21</x:v>
      </x:c>
      <x:c r="E57" s="5" t="s">
        <x:v>21</x:v>
      </x:c>
      <x:c r="F57" s="5" t="s">
        <x:v>21</x:v>
      </x:c>
      <x:c r="G57" s="5" t="s">
        <x:v>210</x:v>
      </x:c>
      <x:c r="H57" s="5" t="s">
        <x:v>201</x:v>
      </x:c>
      <x:c r="I57" s="5" t="s">
        <x:v>22</x:v>
      </x:c>
      <x:c r="K57" s="5" t="s">
        <x:v>22</x:v>
      </x:c>
      <x:c r="L57" s="6" t="s">
        <x:v>187</x:v>
      </x:c>
    </x:row>
    <x:row r="58" spans="1:12" ht="22.5" customHeight="1">
      <x:c r="A58" s="4">
        <x:v>46219.55361368056</x:v>
      </x:c>
      <x:c r="B58" s="5" t="s">
        <x:v>114</x:v>
      </x:c>
      <x:c r="D58" s="5" t="s">
        <x:v>21</x:v>
      </x:c>
      <x:c r="E58" s="5" t="s">
        <x:v>21</x:v>
      </x:c>
      <x:c r="F58" s="5" t="s">
        <x:v>198</x:v>
      </x:c>
      <x:c r="G58" s="5" t="s">
        <x:v>10</x:v>
      </x:c>
      <x:c r="H58" s="5" t="s">
        <x:v>15</x:v>
      </x:c>
      <x:c r="I58" s="5" t="s">
        <x:v>224</x:v>
      </x:c>
      <x:c r="K58" s="5" t="s">
        <x:v>153</x:v>
      </x:c>
      <x:c r="L58" s="6" t="s">
        <x:v>188</x:v>
      </x:c>
    </x:row>
    <x:row r="59" spans="1:12" ht="22.5" customHeight="1">
      <x:c r="A59" s="4">
        <x:v>46219.768239178244</x:v>
      </x:c>
      <x:c r="B59" s="5" t="s">
        <x:v>110</x:v>
      </x:c>
      <x:c r="D59" s="5" t="s">
        <x:v>21</x:v>
      </x:c>
      <x:c r="E59" s="5" t="s">
        <x:v>21</x:v>
      </x:c>
      <x:c r="F59" s="5" t="s">
        <x:v>221</x:v>
      </x:c>
      <x:c r="G59" s="5" t="s">
        <x:v>234</x:v>
      </x:c>
      <x:c r="H59" s="5" t="s">
        <x:v>233</x:v>
      </x:c>
      <x:c r="I59" s="5" t="s">
        <x:v>22</x:v>
      </x:c>
      <x:c r="K59" s="5" t="s">
        <x:v>223</x:v>
      </x:c>
      <x:c r="L59" s="6" t="s">
        <x:v>169</x:v>
      </x:c>
    </x:row>
    <x:row r="60" spans="1:12" ht="22.5" customHeight="1">
      <x:c r="A60" s="4">
        <x:v>46219.8841737037</x:v>
      </x:c>
      <x:c r="B60" s="5" t="s">
        <x:v>237</x:v>
      </x:c>
      <x:c r="D60" s="5" t="s">
        <x:v>21</x:v>
      </x:c>
      <x:c r="E60" s="5" t="s">
        <x:v>21</x:v>
      </x:c>
      <x:c r="F60" s="5" t="s">
        <x:v>137</x:v>
      </x:c>
      <x:c r="G60" s="5" t="s">
        <x:v>232</x:v>
      </x:c>
      <x:c r="H60" s="5" t="s">
        <x:v>201</x:v>
      </x:c>
      <x:c r="I60" s="5" t="s">
        <x:v>16</x:v>
      </x:c>
      <x:c r="K60" s="5" t="s">
        <x:v>223</x:v>
      </x:c>
      <x:c r="L60" s="6" t="s">
        <x:v>4</x:v>
      </x:c>
    </x:row>
    <x:row r="61" spans="1:12" ht="22.5" customHeight="1">
      <x:c r="A61" s="4">
        <x:v>46220.308684965275</x:v>
      </x:c>
      <x:c r="B61" s="5" t="s">
        <x:v>240</x:v>
      </x:c>
      <x:c r="D61" s="5" t="s">
        <x:v>21</x:v>
      </x:c>
      <x:c r="E61" s="5" t="s">
        <x:v>135</x:v>
      </x:c>
      <x:c r="F61" s="5" t="s">
        <x:v>21</x:v>
      </x:c>
      <x:c r="G61" s="5" t="s">
        <x:v>9</x:v>
      </x:c>
      <x:c r="H61" s="5" t="s">
        <x:v>12</x:v>
      </x:c>
      <x:c r="I61" s="5" t="s">
        <x:v>16</x:v>
      </x:c>
      <x:c r="K61" s="5" t="s">
        <x:v>22</x:v>
      </x:c>
      <x:c r="L61" s="6" t="s">
        <x:v>213</x:v>
      </x:c>
    </x:row>
    <x:row r="62" spans="1:12" ht="22.5" customHeight="1">
      <x:c r="A62" s="4">
        <x:v>46220.712708472223</x:v>
      </x:c>
      <x:c r="B62" s="5" t="s">
        <x:v>241</x:v>
      </x:c>
      <x:c r="D62" s="5" t="s">
        <x:v>136</x:v>
      </x:c>
      <x:c r="E62" s="5" t="s">
        <x:v>132</x:v>
      </x:c>
      <x:c r="F62" s="5" t="s">
        <x:v>137</x:v>
      </x:c>
      <x:c r="G62" s="5" t="s">
        <x:v>227</x:v>
      </x:c>
      <x:c r="H62" s="5" t="s">
        <x:v>39</x:v>
      </x:c>
      <x:c r="I62" s="5" t="s">
        <x:v>235</x:v>
      </x:c>
      <x:c r="K62" s="5" t="s">
        <x:v>153</x:v>
      </x:c>
      <x:c r="L62" s="6" t="s">
        <x:v>212</x:v>
      </x:c>
    </x:row>
    <x:row r="63" spans="1:12" ht="22.5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B1:E22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.75" customHeight="1"/>
  <x:sheetData>
    <x:row r="1" spans="2:5" ht="13.19999999999999928946">
      <x:c r="B1" s="8" t="s">
        <x:v>242</x:v>
      </x:c>
      <x:c r="C1" s="8" t="s">
        <x:v>239</x:v>
      </x:c>
      <x:c r="D1" s="8" t="s">
        <x:v>253</x:v>
      </x:c>
      <x:c r="E1" s="8" t="s">
        <x:v>248</x:v>
      </x:c>
    </x:row>
    <x:row r="2" spans="2:5" ht="13.19999999999999928946">
      <x:c r="B2" s="9" t="str">
        <x:f>IFERROR(__xludf.DUMMYFUNCTION("IFERROR(FILTER('설문지 응답 시트1'!$B:$B, REGEXMATCH('설문지 응답 시트1'!$D:$D, B$1)), """")"),"김수현")</x:f>
        <x:v>김수현</x:v>
      </x:c>
      <x:c r="C2" s="9" t="str">
        <x:f>IFERROR(__xludf.DUMMYFUNCTION("IFERROR(FILTER('설문지 응답 시트1'!$B:$B, REGEXMATCH('설문지 응답 시트1'!$D:$D, C$1)), """")"),"이나라")</x:f>
        <x:v>이나라</x:v>
      </x:c>
      <x:c r="D2" s="9" t="str">
        <x:f>IFERROR(__xludf.DUMMYFUNCTION("IFERROR(FILTER('설문지 응답 시트1'!$B:$B, REGEXMATCH('설문지 응답 시트1'!$D:$D, D$1)), """")"),"이나라")</x:f>
        <x:v>이나라</x:v>
      </x:c>
      <x:c r="E2" s="9" t="str">
        <x:f>IFERROR(__xludf.DUMMYFUNCTION("IFERROR(FILTER('설문지 응답 시트1'!$B:$B, REGEXMATCH('설문지 응답 시트1'!$D:$D, E$1)), """")"),"이나라")</x:f>
        <x:v>이나라</x:v>
      </x:c>
    </x:row>
    <x:row r="3" spans="2:5" ht="13.19999999999999928946">
      <x:c r="B3" s="9" t="str">
        <x:f>IFERROR(__xludf.DUMMYFUNCTION("""COMPUTED_VALUE"""),"이나라")</x:f>
        <x:v>이나라</x:v>
      </x:c>
      <x:c r="C3" s="9" t="str">
        <x:f>IFERROR(__xludf.DUMMYFUNCTION("""COMPUTED_VALUE"""),"나혜나")</x:f>
        <x:v>나혜나</x:v>
      </x:c>
      <x:c r="D3" s="9" t="str">
        <x:f>IFERROR(__xludf.DUMMYFUNCTION("""COMPUTED_VALUE"""),"나혜나")</x:f>
        <x:v>나혜나</x:v>
      </x:c>
      <x:c r="E3" s="9" t="str">
        <x:f>IFERROR(__xludf.DUMMYFUNCTION("""COMPUTED_VALUE"""),"나혜나")</x:f>
        <x:v>나혜나</x:v>
      </x:c>
    </x:row>
    <x:row r="4" spans="2:5" ht="13.19999999999999928946">
      <x:c r="B4" s="9" t="str">
        <x:f>IFERROR(__xludf.DUMMYFUNCTION("""COMPUTED_VALUE"""),"박가온")</x:f>
        <x:v>박가온</x:v>
      </x:c>
      <x:c r="C4" s="9" t="str">
        <x:f>IFERROR(__xludf.DUMMYFUNCTION("""COMPUTED_VALUE"""),"김인영")</x:f>
        <x:v>김인영</x:v>
      </x:c>
      <x:c r="D4" s="9" t="str">
        <x:f>IFERROR(__xludf.DUMMYFUNCTION("""COMPUTED_VALUE"""),"박가온")</x:f>
        <x:v>박가온</x:v>
      </x:c>
      <x:c r="E4" s="9" t="str">
        <x:f>IFERROR(__xludf.DUMMYFUNCTION("""COMPUTED_VALUE"""),"박고수")</x:f>
        <x:v>박고수</x:v>
      </x:c>
    </x:row>
    <x:row r="5" spans="2:5" ht="13.19999999999999928946">
      <x:c r="B5" s="9" t="str">
        <x:f>IFERROR(__xludf.DUMMYFUNCTION("""COMPUTED_VALUE"""),"최민혁")</x:f>
        <x:v>최민혁</x:v>
      </x:c>
      <x:c r="C5" s="9" t="str">
        <x:f>IFERROR(__xludf.DUMMYFUNCTION("""COMPUTED_VALUE"""),"권수민 ")</x:f>
        <x:v xml:space="preserve">권수민 </x:v>
      </x:c>
      <x:c r="D5" s="9" t="str">
        <x:f>IFERROR(__xludf.DUMMYFUNCTION("""COMPUTED_VALUE"""),"윤지원")</x:f>
        <x:v>윤지원</x:v>
      </x:c>
      <x:c r="E5" s="9" t="str">
        <x:f>IFERROR(__xludf.DUMMYFUNCTION("""COMPUTED_VALUE"""),"문승해")</x:f>
        <x:v>문승해</x:v>
      </x:c>
    </x:row>
    <x:row r="6" spans="2:5" ht="13.19999999999999928946">
      <x:c r="B6" s="9" t="str">
        <x:f>IFERROR(__xludf.DUMMYFUNCTION("""COMPUTED_VALUE"""),"최용준")</x:f>
        <x:v>최용준</x:v>
      </x:c>
      <x:c r="C6" s="9" t="str">
        <x:f>IFERROR(__xludf.DUMMYFUNCTION("""COMPUTED_VALUE"""),"심유은")</x:f>
        <x:v>심유은</x:v>
      </x:c>
      <x:c r="D6" s="9" t="str">
        <x:f>IFERROR(__xludf.DUMMYFUNCTION("""COMPUTED_VALUE"""),"권수민 ")</x:f>
        <x:v xml:space="preserve">권수민 </x:v>
      </x:c>
      <x:c r="E6" s="9" t="str">
        <x:f>IFERROR(__xludf.DUMMYFUNCTION("""COMPUTED_VALUE"""),"박진희")</x:f>
        <x:v>박진희</x:v>
      </x:c>
    </x:row>
    <x:row r="7" spans="2:5" ht="13.19999999999999928946">
      <x:c r="B7" s="9" t="str">
        <x:f>IFERROR(__xludf.DUMMYFUNCTION("""COMPUTED_VALUE"""),"김인영")</x:f>
        <x:v>김인영</x:v>
      </x:c>
      <x:c r="C7" s="9" t="str">
        <x:f>IFERROR(__xludf.DUMMYFUNCTION("""COMPUTED_VALUE"""),"이유정")</x:f>
        <x:v>이유정</x:v>
      </x:c>
      <x:c r="D7" s="9" t="str">
        <x:f>IFERROR(__xludf.DUMMYFUNCTION("""COMPUTED_VALUE"""),"박해솔")</x:f>
        <x:v>박해솔</x:v>
      </x:c>
      <x:c r="E7" s="9" t="str">
        <x:f>IFERROR(__xludf.DUMMYFUNCTION("""COMPUTED_VALUE"""),"권수민 ")</x:f>
        <x:v xml:space="preserve">권수민 </x:v>
      </x:c>
    </x:row>
    <x:row r="8" spans="2:5" ht="13.19999999999999928946">
      <x:c r="B8" s="9" t="str">
        <x:f>IFERROR(__xludf.DUMMYFUNCTION("""COMPUTED_VALUE"""),"최민혁")</x:f>
        <x:v>최민혁</x:v>
      </x:c>
      <x:c r="D8" s="9" t="str">
        <x:f>IFERROR(__xludf.DUMMYFUNCTION("""COMPUTED_VALUE"""),"심유은")</x:f>
        <x:v>심유은</x:v>
      </x:c>
      <x:c r="E8" s="9" t="str">
        <x:f>IFERROR(__xludf.DUMMYFUNCTION("""COMPUTED_VALUE"""),"심유은")</x:f>
        <x:v>심유은</x:v>
      </x:c>
    </x:row>
    <x:row r="9" spans="2:5" ht="13.19999999999999928946">
      <x:c r="B9" s="9" t="str">
        <x:f>IFERROR(__xludf.DUMMYFUNCTION("""COMPUTED_VALUE"""),"권수민 ")</x:f>
        <x:v xml:space="preserve">권수민 </x:v>
      </x:c>
      <x:c r="D9" s="9" t="str">
        <x:f>IFERROR(__xludf.DUMMYFUNCTION("""COMPUTED_VALUE"""),"한수민")</x:f>
        <x:v>한수민</x:v>
      </x:c>
      <x:c r="E9" s="9" t="str">
        <x:f>IFERROR(__xludf.DUMMYFUNCTION("""COMPUTED_VALUE"""),"김가연")</x:f>
        <x:v>김가연</x:v>
      </x:c>
    </x:row>
    <x:row r="10" spans="2:5" ht="13.19999999999999928946">
      <x:c r="B10" s="9" t="str">
        <x:f>IFERROR(__xludf.DUMMYFUNCTION("""COMPUTED_VALUE"""),"김시현")</x:f>
        <x:v>김시현</x:v>
      </x:c>
      <x:c r="D10" s="9" t="str">
        <x:f>IFERROR(__xludf.DUMMYFUNCTION("""COMPUTED_VALUE"""),"김민서")</x:f>
        <x:v>김민서</x:v>
      </x:c>
      <x:c r="E10" s="9" t="str">
        <x:f>IFERROR(__xludf.DUMMYFUNCTION("""COMPUTED_VALUE"""),"김민서")</x:f>
        <x:v>김민서</x:v>
      </x:c>
    </x:row>
    <x:row r="11" spans="2:5" ht="13.19999999999999928946">
      <x:c r="B11" s="9" t="str">
        <x:f>IFERROR(__xludf.DUMMYFUNCTION("""COMPUTED_VALUE"""),"이승현")</x:f>
        <x:v>이승현</x:v>
      </x:c>
      <x:c r="D11" s="9" t="str">
        <x:f>IFERROR(__xludf.DUMMYFUNCTION("""COMPUTED_VALUE"""),"이유정")</x:f>
        <x:v>이유정</x:v>
      </x:c>
      <x:c r="E11" s="9" t="str">
        <x:f>IFERROR(__xludf.DUMMYFUNCTION("""COMPUTED_VALUE"""),"강민채")</x:f>
        <x:v>강민채</x:v>
      </x:c>
    </x:row>
    <x:row r="12" spans="2:5" ht="13.19999999999999928946">
      <x:c r="B12" s="9" t="str">
        <x:f>IFERROR(__xludf.DUMMYFUNCTION("""COMPUTED_VALUE"""),"이현서")</x:f>
        <x:v>이현서</x:v>
      </x:c>
      <x:c r="D12" s="9" t="str">
        <x:f>IFERROR(__xludf.DUMMYFUNCTION("""COMPUTED_VALUE"""),"전우현")</x:f>
        <x:v>전우현</x:v>
      </x:c>
      <x:c r="E12" s="9" t="str">
        <x:f>IFERROR(__xludf.DUMMYFUNCTION("""COMPUTED_VALUE"""),"이유정")</x:f>
        <x:v>이유정</x:v>
      </x:c>
    </x:row>
    <x:row r="13" spans="2:5" ht="13.19999999999999928946">
      <x:c r="B13" s="9" t="str">
        <x:f>IFERROR(__xludf.DUMMYFUNCTION("""COMPUTED_VALUE"""),"백현기")</x:f>
        <x:v>백현기</x:v>
      </x:c>
      <x:c r="D13" s="9" t="str">
        <x:f>IFERROR(__xludf.DUMMYFUNCTION("""COMPUTED_VALUE"""),"권태현")</x:f>
        <x:v>권태현</x:v>
      </x:c>
      <x:c r="E13" s="9" t="str">
        <x:f>IFERROR(__xludf.DUMMYFUNCTION("""COMPUTED_VALUE"""),"유아린")</x:f>
        <x:v>유아린</x:v>
      </x:c>
    </x:row>
    <x:row r="14" spans="2:2" ht="13.19999999999999928946">
      <x:c r="B14" s="9" t="str">
        <x:f>IFERROR(__xludf.DUMMYFUNCTION("""COMPUTED_VALUE"""),"심유은")</x:f>
        <x:v>심유은</x:v>
      </x:c>
    </x:row>
    <x:row r="15" spans="2:2" ht="13.19999999999999928946">
      <x:c r="B15" s="9" t="str">
        <x:f>IFERROR(__xludf.DUMMYFUNCTION("""COMPUTED_VALUE"""),"신서현")</x:f>
        <x:v>신서현</x:v>
      </x:c>
    </x:row>
    <x:row r="16" spans="2:2" ht="13.19999999999999928946">
      <x:c r="B16" s="9" t="str">
        <x:f>IFERROR(__xludf.DUMMYFUNCTION("""COMPUTED_VALUE"""),"한수민")</x:f>
        <x:v>한수민</x:v>
      </x:c>
    </x:row>
    <x:row r="17" spans="2:2" ht="13.19999999999999928946">
      <x:c r="B17" s="9" t="str">
        <x:f>IFERROR(__xludf.DUMMYFUNCTION("""COMPUTED_VALUE"""),"이형원")</x:f>
        <x:v>이형원</x:v>
      </x:c>
    </x:row>
    <x:row r="18" spans="2:2" ht="13.19999999999999928946">
      <x:c r="B18" s="9" t="str">
        <x:f>IFERROR(__xludf.DUMMYFUNCTION("""COMPUTED_VALUE"""),"우지웅")</x:f>
        <x:v>우지웅</x:v>
      </x:c>
    </x:row>
    <x:row r="19" spans="2:2" ht="13.19999999999999928946">
      <x:c r="B19" s="9" t="str">
        <x:f>IFERROR(__xludf.DUMMYFUNCTION("""COMPUTED_VALUE"""),"김민서")</x:f>
        <x:v>김민서</x:v>
      </x:c>
    </x:row>
    <x:row r="20" spans="2:2" ht="13.19999999999999928946">
      <x:c r="B20" s="9" t="str">
        <x:f>IFERROR(__xludf.DUMMYFUNCTION("""COMPUTED_VALUE"""),"손정호")</x:f>
        <x:v>손정호</x:v>
      </x:c>
    </x:row>
    <x:row r="21" spans="2:2" ht="13.19999999999999928946">
      <x:c r="B21" s="9" t="str">
        <x:f>IFERROR(__xludf.DUMMYFUNCTION("""COMPUTED_VALUE"""),"김수환 ")</x:f>
        <x:v xml:space="preserve">김수환 </x:v>
      </x:c>
    </x:row>
    <x:row r="22" spans="2:2" ht="13.19999999999999928946">
      <x:c r="B22" s="9" t="str">
        <x:f>IFERROR(__xludf.DUMMYFUNCTION("""COMPUTED_VALUE"""),"신민기")</x:f>
        <x:v>신민기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outlinePr applyStyles="0" summaryBelow="0" summaryRight="1" showOutlineSymbols="1"/>
  </x:sheetPr>
  <x:dimension ref="B1:E24"/>
  <x:sheetViews>
    <x:sheetView topLeftCell="A1" zoomScaleNormal="75" zoomScaleSheetLayoutView="100" workbookViewId="0">
      <x:selection activeCell="D21" activeCellId="0" sqref="D21:D21"/>
    </x:sheetView>
  </x:sheetViews>
  <x:sheetFormatPr defaultColWidth="12.62890625" defaultRowHeight="15.75" customHeight="1"/>
  <x:sheetData>
    <x:row r="1" spans="2:5" ht="13.19999999999999928946">
      <x:c r="B1" s="8" t="s">
        <x:v>244</x:v>
      </x:c>
      <x:c r="C1" s="8" t="s">
        <x:v>245</x:v>
      </x:c>
      <x:c r="D1" s="10" t="s">
        <x:v>243</x:v>
      </x:c>
      <x:c r="E1" s="8" t="s">
        <x:v>246</x:v>
      </x:c>
    </x:row>
    <x:row r="2" spans="2:5" ht="13.19999999999999928946">
      <x:c r="B2" s="9" t="str">
        <x:f>IFERROR(__xludf.DUMMYFUNCTION("IFERROR(FILTER('설문지 응답 시트1'!$B:$B, REGEXMATCH('설문지 응답 시트1'!$E:$E, B$1)), """")"),"김수현")</x:f>
        <x:v>김수현</x:v>
      </x:c>
      <x:c r="C2" s="9" t="str">
        <x:f>IFERROR(__xludf.DUMMYFUNCTION("IFERROR(FILTER('설문지 응답 시트1'!$B:$B, REGEXMATCH('설문지 응답 시트1'!$E:$E, C$1)), """")"),"김수현")</x:f>
        <x:v>김수현</x:v>
      </x:c>
      <x:c r="D2" s="9" t="str">
        <x:f>IFERROR(__xludf.DUMMYFUNCTION("IFERROR(FILTER('설문지 응답 시트1'!$B:$B, REGEXMATCH('설문지 응답 시트1'!$E:$E, D$1)), """")"),"이나라")</x:f>
        <x:v>이나라</x:v>
      </x:c>
      <x:c r="E2" s="9" t="str">
        <x:f>IFERROR(__xludf.DUMMYFUNCTION("IFERROR(FILTER('설문지 응답 시트1'!$B:$B, REGEXMATCH('설문지 응답 시트1'!$E:$E, E$1)), """")"),"이나라")</x:f>
        <x:v>이나라</x:v>
      </x:c>
    </x:row>
    <x:row r="3" spans="2:5" ht="13.19999999999999928946">
      <x:c r="B3" s="9" t="str">
        <x:f>IFERROR(__xludf.DUMMYFUNCTION("""COMPUTED_VALUE"""),"이나라")</x:f>
        <x:v>이나라</x:v>
      </x:c>
      <x:c r="C3" s="9" t="str">
        <x:f>IFERROR(__xludf.DUMMYFUNCTION("""COMPUTED_VALUE"""),"이나라")</x:f>
        <x:v>이나라</x:v>
      </x:c>
      <x:c r="D3" s="9" t="str">
        <x:f>IFERROR(__xludf.DUMMYFUNCTION("""COMPUTED_VALUE"""),"나혜나")</x:f>
        <x:v>나혜나</x:v>
      </x:c>
      <x:c r="E3" s="9" t="str">
        <x:f>IFERROR(__xludf.DUMMYFUNCTION("""COMPUTED_VALUE"""),"나혜나")</x:f>
        <x:v>나혜나</x:v>
      </x:c>
    </x:row>
    <x:row r="4" spans="2:5" ht="13.19999999999999928946">
      <x:c r="B4" s="9" t="str">
        <x:f>IFERROR(__xludf.DUMMYFUNCTION("""COMPUTED_VALUE"""),"박가온")</x:f>
        <x:v>박가온</x:v>
      </x:c>
      <x:c r="C4" s="9" t="str">
        <x:f>IFERROR(__xludf.DUMMYFUNCTION("""COMPUTED_VALUE"""),"나혜나")</x:f>
        <x:v>나혜나</x:v>
      </x:c>
      <x:c r="D4" s="9" t="str">
        <x:f>IFERROR(__xludf.DUMMYFUNCTION("""COMPUTED_VALUE"""),"박가온")</x:f>
        <x:v>박가온</x:v>
      </x:c>
      <x:c r="E4" s="9" t="str">
        <x:f>IFERROR(__xludf.DUMMYFUNCTION("""COMPUTED_VALUE"""),"박고수")</x:f>
        <x:v>박고수</x:v>
      </x:c>
    </x:row>
    <x:row r="5" spans="2:5" ht="13.19999999999999928946">
      <x:c r="B5" s="9" t="str">
        <x:f>IFERROR(__xludf.DUMMYFUNCTION("""COMPUTED_VALUE"""),"천유림")</x:f>
        <x:v>천유림</x:v>
      </x:c>
      <x:c r="C5" s="9" t="str">
        <x:f>IFERROR(__xludf.DUMMYFUNCTION("""COMPUTED_VALUE"""),"김서현")</x:f>
        <x:v>김서현</x:v>
      </x:c>
      <x:c r="D5" s="9" t="str">
        <x:f>IFERROR(__xludf.DUMMYFUNCTION("""COMPUTED_VALUE"""),"윤지원")</x:f>
        <x:v>윤지원</x:v>
      </x:c>
      <x:c r="E5" s="9" t="str">
        <x:f>IFERROR(__xludf.DUMMYFUNCTION("""COMPUTED_VALUE"""),"문승해")</x:f>
        <x:v>문승해</x:v>
      </x:c>
    </x:row>
    <x:row r="6" spans="2:5" ht="13.19999999999999928946">
      <x:c r="B6" s="9" t="str">
        <x:f>IFERROR(__xludf.DUMMYFUNCTION("""COMPUTED_VALUE"""),"김서현")</x:f>
        <x:v>김서현</x:v>
      </x:c>
      <x:c r="C6" s="9" t="str">
        <x:f>IFERROR(__xludf.DUMMYFUNCTION("""COMPUTED_VALUE"""),"김인영")</x:f>
        <x:v>김인영</x:v>
      </x:c>
      <x:c r="D6" s="9" t="str">
        <x:f>IFERROR(__xludf.DUMMYFUNCTION("""COMPUTED_VALUE"""),"권수민 ")</x:f>
        <x:v xml:space="preserve">권수민 </x:v>
      </x:c>
      <x:c r="E6" s="9" t="str">
        <x:f>IFERROR(__xludf.DUMMYFUNCTION("""COMPUTED_VALUE"""),"박진희")</x:f>
        <x:v>박진희</x:v>
      </x:c>
    </x:row>
    <x:row r="7" spans="2:5" ht="13.19999999999999928946">
      <x:c r="B7" s="9" t="str">
        <x:f>IFERROR(__xludf.DUMMYFUNCTION("""COMPUTED_VALUE"""),"김재원")</x:f>
        <x:v>김재원</x:v>
      </x:c>
      <x:c r="C7" s="9" t="str">
        <x:f>IFERROR(__xludf.DUMMYFUNCTION("""COMPUTED_VALUE"""),"권수민 ")</x:f>
        <x:v xml:space="preserve">권수민 </x:v>
      </x:c>
      <x:c r="D7" s="9" t="str">
        <x:f>IFERROR(__xludf.DUMMYFUNCTION("""COMPUTED_VALUE"""),"박해솔")</x:f>
        <x:v>박해솔</x:v>
      </x:c>
      <x:c r="E7" s="9" t="str">
        <x:f>IFERROR(__xludf.DUMMYFUNCTION("""COMPUTED_VALUE"""),"권수민 ")</x:f>
        <x:v xml:space="preserve">권수민 </x:v>
      </x:c>
    </x:row>
    <x:row r="8" spans="2:5" ht="13.19999999999999928946">
      <x:c r="B8" s="9" t="str">
        <x:f>IFERROR(__xludf.DUMMYFUNCTION("""COMPUTED_VALUE"""),"최민혁")</x:f>
        <x:v>최민혁</x:v>
      </x:c>
      <x:c r="C8" s="9" t="str">
        <x:f>IFERROR(__xludf.DUMMYFUNCTION("""COMPUTED_VALUE"""),"심유은")</x:f>
        <x:v>심유은</x:v>
      </x:c>
      <x:c r="D8" s="9" t="str">
        <x:f>IFERROR(__xludf.DUMMYFUNCTION("""COMPUTED_VALUE"""),"심유은")</x:f>
        <x:v>심유은</x:v>
      </x:c>
      <x:c r="E8" s="9" t="str">
        <x:f>IFERROR(__xludf.DUMMYFUNCTION("""COMPUTED_VALUE"""),"김도영")</x:f>
        <x:v>김도영</x:v>
      </x:c>
    </x:row>
    <x:row r="9" spans="2:5" ht="13.19999999999999928946">
      <x:c r="B9" s="9" t="str">
        <x:f>IFERROR(__xludf.DUMMYFUNCTION("""COMPUTED_VALUE"""),"김인영")</x:f>
        <x:v>김인영</x:v>
      </x:c>
      <x:c r="C9" s="9" t="str">
        <x:f>IFERROR(__xludf.DUMMYFUNCTION("""COMPUTED_VALUE"""),"김서영")</x:f>
        <x:v>김서영</x:v>
      </x:c>
      <x:c r="D9" s="9" t="str">
        <x:f>IFERROR(__xludf.DUMMYFUNCTION("""COMPUTED_VALUE"""),"김민서")</x:f>
        <x:v>김민서</x:v>
      </x:c>
      <x:c r="E9" s="9" t="str">
        <x:f>IFERROR(__xludf.DUMMYFUNCTION("""COMPUTED_VALUE"""),"심유은")</x:f>
        <x:v>심유은</x:v>
      </x:c>
    </x:row>
    <x:row r="10" spans="2:5" ht="13.19999999999999928946">
      <x:c r="B10" s="9" t="str">
        <x:f>IFERROR(__xludf.DUMMYFUNCTION("""COMPUTED_VALUE"""),"최민혁")</x:f>
        <x:v>최민혁</x:v>
      </x:c>
      <x:c r="C10" s="9" t="str">
        <x:f>IFERROR(__xludf.DUMMYFUNCTION("""COMPUTED_VALUE"""),"권하령")</x:f>
        <x:v>권하령</x:v>
      </x:c>
      <x:c r="D10" s="9" t="str">
        <x:f>IFERROR(__xludf.DUMMYFUNCTION("""COMPUTED_VALUE"""),"권태현")</x:f>
        <x:v>권태현</x:v>
      </x:c>
      <x:c r="E10" s="9" t="str">
        <x:f>IFERROR(__xludf.DUMMYFUNCTION("""COMPUTED_VALUE"""),"한수민")</x:f>
        <x:v>한수민</x:v>
      </x:c>
    </x:row>
    <x:row r="11" spans="2:5" ht="13.19999999999999928946">
      <x:c r="B11" s="9" t="str">
        <x:f>IFERROR(__xludf.DUMMYFUNCTION("""COMPUTED_VALUE"""),"권수민 ")</x:f>
        <x:v xml:space="preserve">권수민 </x:v>
      </x:c>
      <x:c r="C11" s="9" t="str">
        <x:f>IFERROR(__xludf.DUMMYFUNCTION("""COMPUTED_VALUE"""),"강은성")</x:f>
        <x:v>강은성</x:v>
      </x:c>
      <x:c r="E11" s="9" t="str">
        <x:f>IFERROR(__xludf.DUMMYFUNCTION("""COMPUTED_VALUE"""),"김서영")</x:f>
        <x:v>김서영</x:v>
      </x:c>
    </x:row>
    <x:row r="12" spans="2:5" ht="13.19999999999999928946">
      <x:c r="B12" s="9" t="str">
        <x:f>IFERROR(__xludf.DUMMYFUNCTION("""COMPUTED_VALUE"""),"백현기")</x:f>
        <x:v>백현기</x:v>
      </x:c>
      <x:c r="C12" s="9" t="str">
        <x:f>IFERROR(__xludf.DUMMYFUNCTION("""COMPUTED_VALUE"""),"김서영")</x:f>
        <x:v>김서영</x:v>
      </x:c>
      <x:c r="E12" s="9" t="str">
        <x:f>IFERROR(__xludf.DUMMYFUNCTION("""COMPUTED_VALUE"""),"김가연")</x:f>
        <x:v>김가연</x:v>
      </x:c>
    </x:row>
    <x:row r="13" spans="2:5" ht="13.19999999999999928946">
      <x:c r="B13" s="9" t="str">
        <x:f>IFERROR(__xludf.DUMMYFUNCTION("""COMPUTED_VALUE"""),"김수원")</x:f>
        <x:v>김수원</x:v>
      </x:c>
      <x:c r="E13" s="9" t="str">
        <x:f>IFERROR(__xludf.DUMMYFUNCTION("""COMPUTED_VALUE"""),"김민서")</x:f>
        <x:v>김민서</x:v>
      </x:c>
    </x:row>
    <x:row r="14" spans="2:5" ht="13.19999999999999928946">
      <x:c r="B14" s="9" t="str">
        <x:f>IFERROR(__xludf.DUMMYFUNCTION("""COMPUTED_VALUE"""),"심유은")</x:f>
        <x:v>심유은</x:v>
      </x:c>
      <x:c r="E14" s="9" t="str">
        <x:f>IFERROR(__xludf.DUMMYFUNCTION("""COMPUTED_VALUE"""),"유아인")</x:f>
        <x:v>유아인</x:v>
      </x:c>
    </x:row>
    <x:row r="15" spans="2:5" ht="13.19999999999999928946">
      <x:c r="B15" s="9" t="str">
        <x:f>IFERROR(__xludf.DUMMYFUNCTION("""COMPUTED_VALUE"""),"신서현")</x:f>
        <x:v>신서현</x:v>
      </x:c>
      <x:c r="E15" s="9" t="str">
        <x:f>IFERROR(__xludf.DUMMYFUNCTION("""COMPUTED_VALUE"""),"황예서")</x:f>
        <x:v>황예서</x:v>
      </x:c>
    </x:row>
    <x:row r="16" spans="2:5" ht="13.19999999999999928946">
      <x:c r="B16" s="9" t="str">
        <x:f>IFERROR(__xludf.DUMMYFUNCTION("""COMPUTED_VALUE"""),"우지웅")</x:f>
        <x:v>우지웅</x:v>
      </x:c>
      <x:c r="E16" s="9" t="str">
        <x:f>IFERROR(__xludf.DUMMYFUNCTION("""COMPUTED_VALUE"""),"김서영")</x:f>
        <x:v>김서영</x:v>
      </x:c>
    </x:row>
    <x:row r="17" spans="2:5" ht="13.19999999999999928946">
      <x:c r="B17" s="9" t="str">
        <x:f>IFERROR(__xludf.DUMMYFUNCTION("""COMPUTED_VALUE"""),"김민서")</x:f>
        <x:v>김민서</x:v>
      </x:c>
      <x:c r="E17" s="9" t="str">
        <x:f>IFERROR(__xludf.DUMMYFUNCTION("""COMPUTED_VALUE"""),"류지호")</x:f>
        <x:v>류지호</x:v>
      </x:c>
    </x:row>
    <x:row r="18" spans="2:2" ht="13.19999999999999928946">
      <x:c r="B18" s="9" t="str">
        <x:f>IFERROR(__xludf.DUMMYFUNCTION("""COMPUTED_VALUE"""),"손민석 ")</x:f>
        <x:v xml:space="preserve">손민석 </x:v>
      </x:c>
    </x:row>
    <x:row r="19" spans="2:2" ht="13.19999999999999928946">
      <x:c r="B19" s="9" t="str">
        <x:f>IFERROR(__xludf.DUMMYFUNCTION("""COMPUTED_VALUE"""),"권대원")</x:f>
        <x:v>권대원</x:v>
      </x:c>
    </x:row>
    <x:row r="20" spans="2:2" ht="13.19999999999999928946">
      <x:c r="B20" s="9" t="str">
        <x:f>IFERROR(__xludf.DUMMYFUNCTION("""COMPUTED_VALUE"""),"손정호")</x:f>
        <x:v>손정호</x:v>
      </x:c>
    </x:row>
    <x:row r="21" spans="2:2" ht="13.19999999999999928946">
      <x:c r="B21" s="9" t="str">
        <x:f>IFERROR(__xludf.DUMMYFUNCTION("""COMPUTED_VALUE"""),"김수환 ")</x:f>
        <x:v xml:space="preserve">김수환 </x:v>
      </x:c>
    </x:row>
    <x:row r="22" spans="2:2" ht="13.19999999999999928946">
      <x:c r="B22" s="9" t="str">
        <x:f>IFERROR(__xludf.DUMMYFUNCTION("""COMPUTED_VALUE"""),"황예람")</x:f>
        <x:v>황예람</x:v>
      </x:c>
    </x:row>
    <x:row r="23" spans="2:2" ht="13.19999999999999928946">
      <x:c r="B23" s="9" t="str">
        <x:f>IFERROR(__xludf.DUMMYFUNCTION("""COMPUTED_VALUE"""),"권윤희")</x:f>
        <x:v>권윤희</x:v>
      </x:c>
    </x:row>
    <x:row r="24" spans="2:2" ht="13.19999999999999928946">
      <x:c r="B24" s="9" t="str">
        <x:f>IFERROR(__xludf.DUMMYFUNCTION("""COMPUTED_VALUE"""),"신민기")</x:f>
        <x:v>신민기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outlinePr applyStyles="0" summaryBelow="0" summaryRight="1" showOutlineSymbols="1"/>
  </x:sheetPr>
  <x:dimension ref="B1:E26"/>
  <x:sheetViews>
    <x:sheetView topLeftCell="A1" zoomScaleNormal="75" zoomScaleSheetLayoutView="100" workbookViewId="0">
      <x:selection activeCell="B20" activeCellId="0" sqref="B20:B20"/>
    </x:sheetView>
  </x:sheetViews>
  <x:sheetFormatPr defaultColWidth="12.62890625" defaultRowHeight="15.75" customHeight="1"/>
  <x:sheetData>
    <x:row r="1" spans="2:5" ht="13.19999999999999928946">
      <x:c r="B1" s="8" t="s">
        <x:v>250</x:v>
      </x:c>
      <x:c r="C1" s="8" t="s">
        <x:v>249</x:v>
      </x:c>
      <x:c r="D1" s="8" t="s">
        <x:v>252</x:v>
      </x:c>
      <x:c r="E1" s="8" t="s">
        <x:v>251</x:v>
      </x:c>
    </x:row>
    <x:row r="2" spans="2:5" ht="13.19999999999999928946">
      <x:c r="B2" s="9" t="str">
        <x:f>IFERROR(__xludf.DUMMYFUNCTION("IFERROR(FILTER('설문지 응답 시트1'!$B:$B, REGEXMATCH('설문지 응답 시트1'!$F:$F, B$1)), """")"),"김수현")</x:f>
        <x:v>김수현</x:v>
      </x:c>
      <x:c r="C2" s="9" t="str">
        <x:f>IFERROR(__xludf.DUMMYFUNCTION("IFERROR(FILTER('설문지 응답 시트1'!$B:$B, REGEXMATCH('설문지 응답 시트1'!$F:$F, C$1)), """")"),"이나라")</x:f>
        <x:v>이나라</x:v>
      </x:c>
      <x:c r="D2" s="9" t="str">
        <x:f>IFERROR(__xludf.DUMMYFUNCTION("IFERROR(FILTER('설문지 응답 시트1'!$B:$B, REGEXMATCH('설문지 응답 시트1'!$F:$F, D$1)), """")"),"이나라")</x:f>
        <x:v>이나라</x:v>
      </x:c>
      <x:c r="E2" s="9" t="str">
        <x:f>IFERROR(__xludf.DUMMYFUNCTION("IFERROR(FILTER('설문지 응답 시트1'!$B:$B, REGEXMATCH('설문지 응답 시트1'!$F:$F, E$1)), """")"),"이나라")</x:f>
        <x:v>이나라</x:v>
      </x:c>
    </x:row>
    <x:row r="3" spans="2:5" ht="13.19999999999999928946">
      <x:c r="B3" s="9" t="str">
        <x:f>IFERROR(__xludf.DUMMYFUNCTION("""COMPUTED_VALUE"""),"이나라")</x:f>
        <x:v>이나라</x:v>
      </x:c>
      <x:c r="C3" s="9" t="str">
        <x:f>IFERROR(__xludf.DUMMYFUNCTION("""COMPUTED_VALUE"""),"나혜나")</x:f>
        <x:v>나혜나</x:v>
      </x:c>
      <x:c r="D3" s="9" t="str">
        <x:f>IFERROR(__xludf.DUMMYFUNCTION("""COMPUTED_VALUE"""),"나혜나")</x:f>
        <x:v>나혜나</x:v>
      </x:c>
      <x:c r="E3" s="9" t="str">
        <x:f>IFERROR(__xludf.DUMMYFUNCTION("""COMPUTED_VALUE"""),"나혜나")</x:f>
        <x:v>나혜나</x:v>
      </x:c>
    </x:row>
    <x:row r="4" spans="2:5" ht="13.19999999999999928946">
      <x:c r="B4" s="9" t="str">
        <x:f>IFERROR(__xludf.DUMMYFUNCTION("""COMPUTED_VALUE"""),"박가온")</x:f>
        <x:v>박가온</x:v>
      </x:c>
      <x:c r="C4" s="9" t="str">
        <x:f>IFERROR(__xludf.DUMMYFUNCTION("""COMPUTED_VALUE"""),"윤지원")</x:f>
        <x:v>윤지원</x:v>
      </x:c>
      <x:c r="D4" s="9" t="str">
        <x:f>IFERROR(__xludf.DUMMYFUNCTION("""COMPUTED_VALUE"""),"박가온")</x:f>
        <x:v>박가온</x:v>
      </x:c>
      <x:c r="E4" s="9" t="str">
        <x:f>IFERROR(__xludf.DUMMYFUNCTION("""COMPUTED_VALUE"""),"박고수")</x:f>
        <x:v>박고수</x:v>
      </x:c>
    </x:row>
    <x:row r="5" spans="2:5" ht="13.19999999999999928946">
      <x:c r="B5" s="9" t="str">
        <x:f>IFERROR(__xludf.DUMMYFUNCTION("""COMPUTED_VALUE"""),"최민혁")</x:f>
        <x:v>최민혁</x:v>
      </x:c>
      <x:c r="C5" s="9" t="str">
        <x:f>IFERROR(__xludf.DUMMYFUNCTION("""COMPUTED_VALUE"""),"장세아")</x:f>
        <x:v>장세아</x:v>
      </x:c>
      <x:c r="D5" s="9" t="str">
        <x:f>IFERROR(__xludf.DUMMYFUNCTION("""COMPUTED_VALUE"""),"권수민 ")</x:f>
        <x:v xml:space="preserve">권수민 </x:v>
      </x:c>
      <x:c r="E5" s="9" t="str">
        <x:f>IFERROR(__xludf.DUMMYFUNCTION("""COMPUTED_VALUE"""),"문승해")</x:f>
        <x:v>문승해</x:v>
      </x:c>
    </x:row>
    <x:row r="6" spans="2:5" ht="13.19999999999999928946">
      <x:c r="B6" s="9" t="str">
        <x:f>IFERROR(__xludf.DUMMYFUNCTION("""COMPUTED_VALUE"""),"김인영")</x:f>
        <x:v>김인영</x:v>
      </x:c>
      <x:c r="C6" s="9" t="str">
        <x:f>IFERROR(__xludf.DUMMYFUNCTION("""COMPUTED_VALUE"""),"김인영")</x:f>
        <x:v>김인영</x:v>
      </x:c>
      <x:c r="D6" s="9" t="str">
        <x:f>IFERROR(__xludf.DUMMYFUNCTION("""COMPUTED_VALUE"""),"박해솔")</x:f>
        <x:v>박해솔</x:v>
      </x:c>
      <x:c r="E6" s="9" t="str">
        <x:f>IFERROR(__xludf.DUMMYFUNCTION("""COMPUTED_VALUE"""),"박진희")</x:f>
        <x:v>박진희</x:v>
      </x:c>
    </x:row>
    <x:row r="7" spans="2:5" ht="13.19999999999999928946">
      <x:c r="B7" s="9" t="str">
        <x:f>IFERROR(__xludf.DUMMYFUNCTION("""COMPUTED_VALUE"""),"최민혁")</x:f>
        <x:v>최민혁</x:v>
      </x:c>
      <x:c r="C7" s="9" t="str">
        <x:f>IFERROR(__xludf.DUMMYFUNCTION("""COMPUTED_VALUE"""),"박주영")</x:f>
        <x:v>박주영</x:v>
      </x:c>
      <x:c r="D7" s="9" t="str">
        <x:f>IFERROR(__xludf.DUMMYFUNCTION("""COMPUTED_VALUE"""),"권대원")</x:f>
        <x:v>권대원</x:v>
      </x:c>
      <x:c r="E7" s="9" t="str">
        <x:f>IFERROR(__xludf.DUMMYFUNCTION("""COMPUTED_VALUE"""),"권수민 ")</x:f>
        <x:v xml:space="preserve">권수민 </x:v>
      </x:c>
    </x:row>
    <x:row r="8" spans="2:5" ht="13.19999999999999928946">
      <x:c r="B8" s="9" t="str">
        <x:f>IFERROR(__xludf.DUMMYFUNCTION("""COMPUTED_VALUE"""),"박주영")</x:f>
        <x:v>박주영</x:v>
      </x:c>
      <x:c r="C8" s="9" t="str">
        <x:f>IFERROR(__xludf.DUMMYFUNCTION("""COMPUTED_VALUE"""),"권수민 ")</x:f>
        <x:v xml:space="preserve">권수민 </x:v>
      </x:c>
      <x:c r="D8" s="9" t="str">
        <x:f>IFERROR(__xludf.DUMMYFUNCTION("""COMPUTED_VALUE"""),"심유은")</x:f>
        <x:v>심유은</x:v>
      </x:c>
      <x:c r="E8" s="9" t="str">
        <x:f>IFERROR(__xludf.DUMMYFUNCTION("""COMPUTED_VALUE"""),"권대원")</x:f>
        <x:v>권대원</x:v>
      </x:c>
    </x:row>
    <x:row r="9" spans="2:5" ht="13.19999999999999928946">
      <x:c r="B9" s="9" t="str">
        <x:f>IFERROR(__xludf.DUMMYFUNCTION("""COMPUTED_VALUE"""),"권수민 ")</x:f>
        <x:v xml:space="preserve">권수민 </x:v>
      </x:c>
      <x:c r="C9" s="9" t="str">
        <x:f>IFERROR(__xludf.DUMMYFUNCTION("""COMPUTED_VALUE"""),"권대원")</x:f>
        <x:v>권대원</x:v>
      </x:c>
      <x:c r="D9" s="9" t="str">
        <x:f>IFERROR(__xludf.DUMMYFUNCTION("""COMPUTED_VALUE"""),"한수민")</x:f>
        <x:v>한수민</x:v>
      </x:c>
      <x:c r="E9" s="9" t="str">
        <x:f>IFERROR(__xludf.DUMMYFUNCTION("""COMPUTED_VALUE"""),"심유은")</x:f>
        <x:v>심유은</x:v>
      </x:c>
    </x:row>
    <x:row r="10" spans="2:5" ht="13.19999999999999928946">
      <x:c r="B10" s="9" t="str">
        <x:f>IFERROR(__xludf.DUMMYFUNCTION("""COMPUTED_VALUE"""),"김시현")</x:f>
        <x:v>김시현</x:v>
      </x:c>
      <x:c r="C10" s="9" t="str">
        <x:f>IFERROR(__xludf.DUMMYFUNCTION("""COMPUTED_VALUE"""),"심유은")</x:f>
        <x:v>심유은</x:v>
      </x:c>
      <x:c r="D10" s="9" t="str">
        <x:f>IFERROR(__xludf.DUMMYFUNCTION("""COMPUTED_VALUE"""),"김민서")</x:f>
        <x:v>김민서</x:v>
      </x:c>
      <x:c r="E10" s="9" t="str">
        <x:f>IFERROR(__xludf.DUMMYFUNCTION("""COMPUTED_VALUE"""),"한수민")</x:f>
        <x:v>한수민</x:v>
      </x:c>
    </x:row>
    <x:row r="11" spans="2:5" ht="13.19999999999999928946">
      <x:c r="B11" s="9" t="str">
        <x:f>IFERROR(__xludf.DUMMYFUNCTION("""COMPUTED_VALUE"""),"이승현")</x:f>
        <x:v>이승현</x:v>
      </x:c>
      <x:c r="C11" s="9" t="str">
        <x:f>IFERROR(__xludf.DUMMYFUNCTION("""COMPUTED_VALUE"""),"권대원")</x:f>
        <x:v>권대원</x:v>
      </x:c>
      <x:c r="D11" s="9" t="str">
        <x:f>IFERROR(__xludf.DUMMYFUNCTION("""COMPUTED_VALUE"""),"권대원")</x:f>
        <x:v>권대원</x:v>
      </x:c>
      <x:c r="E11" s="9" t="str">
        <x:f>IFERROR(__xludf.DUMMYFUNCTION("""COMPUTED_VALUE"""),"김가연")</x:f>
        <x:v>김가연</x:v>
      </x:c>
    </x:row>
    <x:row r="12" spans="2:5" ht="13.19999999999999928946">
      <x:c r="B12" s="9" t="str">
        <x:f>IFERROR(__xludf.DUMMYFUNCTION("""COMPUTED_VALUE"""),"김수원")</x:f>
        <x:v>김수원</x:v>
      </x:c>
      <x:c r="C12" s="9" t="str">
        <x:f>IFERROR(__xludf.DUMMYFUNCTION("""COMPUTED_VALUE"""),"이유정")</x:f>
        <x:v>이유정</x:v>
      </x:c>
      <x:c r="D12" s="9" t="str">
        <x:f>IFERROR(__xludf.DUMMYFUNCTION("""COMPUTED_VALUE"""),"이유정")</x:f>
        <x:v>이유정</x:v>
      </x:c>
      <x:c r="E12" s="9" t="str">
        <x:f>IFERROR(__xludf.DUMMYFUNCTION("""COMPUTED_VALUE"""),"김민서")</x:f>
        <x:v>김민서</x:v>
      </x:c>
    </x:row>
    <x:row r="13" spans="2:5" ht="13.19999999999999928946">
      <x:c r="B13" s="9" t="str">
        <x:f>IFERROR(__xludf.DUMMYFUNCTION("""COMPUTED_VALUE"""),"권대원")</x:f>
        <x:v>권대원</x:v>
      </x:c>
      <x:c r="C13" s="9" t="str">
        <x:f>IFERROR(__xludf.DUMMYFUNCTION("""COMPUTED_VALUE"""),"황예서")</x:f>
        <x:v>황예서</x:v>
      </x:c>
      <x:c r="D13" s="9" t="str">
        <x:f>IFERROR(__xludf.DUMMYFUNCTION("""COMPUTED_VALUE"""),"권태현")</x:f>
        <x:v>권태현</x:v>
      </x:c>
      <x:c r="E13" s="9" t="str">
        <x:f>IFERROR(__xludf.DUMMYFUNCTION("""COMPUTED_VALUE"""),"권대원")</x:f>
        <x:v>권대원</x:v>
      </x:c>
    </x:row>
    <x:row r="14" spans="2:5" ht="13.19999999999999928946">
      <x:c r="B14" s="9" t="str">
        <x:f>IFERROR(__xludf.DUMMYFUNCTION("""COMPUTED_VALUE"""),"심유은")</x:f>
        <x:v>심유은</x:v>
      </x:c>
      <x:c r="C14" s="9" t="str">
        <x:f>IFERROR(__xludf.DUMMYFUNCTION("""COMPUTED_VALUE"""),"김현주")</x:f>
        <x:v>김현주</x:v>
      </x:c>
      <x:c r="D14" s="9" t="str">
        <x:f>IFERROR(__xludf.DUMMYFUNCTION("""COMPUTED_VALUE"""),"구민경")</x:f>
        <x:v>구민경</x:v>
      </x:c>
      <x:c r="E14" s="9" t="str">
        <x:f>IFERROR(__xludf.DUMMYFUNCTION("""COMPUTED_VALUE"""),"강민채")</x:f>
        <x:v>강민채</x:v>
      </x:c>
    </x:row>
    <x:row r="15" spans="2:5" ht="13.19999999999999928946">
      <x:c r="B15" s="9" t="str">
        <x:f>IFERROR(__xludf.DUMMYFUNCTION("""COMPUTED_VALUE"""),"신서현")</x:f>
        <x:v>신서현</x:v>
      </x:c>
      <x:c r="D15" s="9" t="str">
        <x:f>IFERROR(__xludf.DUMMYFUNCTION("""COMPUTED_VALUE"""),"김현주")</x:f>
        <x:v>김현주</x:v>
      </x:c>
      <x:c r="E15" s="9" t="str">
        <x:f>IFERROR(__xludf.DUMMYFUNCTION("""COMPUTED_VALUE"""),"이유정")</x:f>
        <x:v>이유정</x:v>
      </x:c>
    </x:row>
    <x:row r="16" spans="2:5" ht="13.19999999999999928946">
      <x:c r="B16" s="9" t="str">
        <x:f>IFERROR(__xludf.DUMMYFUNCTION("""COMPUTED_VALUE"""),"서효령 ")</x:f>
        <x:v xml:space="preserve">서효령 </x:v>
      </x:c>
      <x:c r="E16" s="9" t="str">
        <x:f>IFERROR(__xludf.DUMMYFUNCTION("""COMPUTED_VALUE"""),"유아린")</x:f>
        <x:v>유아린</x:v>
      </x:c>
    </x:row>
    <x:row r="17" spans="2:5" ht="13.19999999999999928946">
      <x:c r="B17" s="9" t="str">
        <x:f>IFERROR(__xludf.DUMMYFUNCTION("""COMPUTED_VALUE"""),"이형원")</x:f>
        <x:v>이형원</x:v>
      </x:c>
      <x:c r="E17" s="9" t="str">
        <x:f>IFERROR(__xludf.DUMMYFUNCTION("""COMPUTED_VALUE"""),"전우현")</x:f>
        <x:v>전우현</x:v>
      </x:c>
    </x:row>
    <x:row r="18" spans="2:5" ht="13.19999999999999928946">
      <x:c r="B18" s="9" t="str">
        <x:f>IFERROR(__xludf.DUMMYFUNCTION("""COMPUTED_VALUE"""),"권하령")</x:f>
        <x:v>권하령</x:v>
      </x:c>
      <x:c r="E18" s="9" t="str">
        <x:f>IFERROR(__xludf.DUMMYFUNCTION("""COMPUTED_VALUE"""),"이정현")</x:f>
        <x:v>이정현</x:v>
      </x:c>
    </x:row>
    <x:row r="19" spans="2:5" ht="13.19999999999999928946">
      <x:c r="B19" s="9" t="str">
        <x:f>IFERROR(__xludf.DUMMYFUNCTION("""COMPUTED_VALUE"""),"김민서")</x:f>
        <x:v>김민서</x:v>
      </x:c>
      <x:c r="E19" s="9" t="str">
        <x:f>IFERROR(__xludf.DUMMYFUNCTION("""COMPUTED_VALUE"""),"박나현")</x:f>
        <x:v>박나현</x:v>
      </x:c>
    </x:row>
    <x:row r="20" spans="2:5" ht="13.19999999999999928946">
      <x:c r="B20" s="9" t="str">
        <x:f>IFERROR(__xludf.DUMMYFUNCTION("""COMPUTED_VALUE"""),"권대원")</x:f>
        <x:v>권대원</x:v>
      </x:c>
      <x:c r="E20" s="9" t="str">
        <x:f>IFERROR(__xludf.DUMMYFUNCTION("""COMPUTED_VALUE"""),"구민경")</x:f>
        <x:v>구민경</x:v>
      </x:c>
    </x:row>
    <x:row r="21" spans="2:5" ht="13.19999999999999928946">
      <x:c r="B21" s="9" t="str">
        <x:f>IFERROR(__xludf.DUMMYFUNCTION("""COMPUTED_VALUE"""),"손정호")</x:f>
        <x:v>손정호</x:v>
      </x:c>
      <x:c r="E21" s="9" t="str">
        <x:f>IFERROR(__xludf.DUMMYFUNCTION("""COMPUTED_VALUE"""),"김현주")</x:f>
        <x:v>김현주</x:v>
      </x:c>
    </x:row>
    <x:row r="22" spans="2:2" ht="13.19999999999999928946">
      <x:c r="B22" s="9" t="str">
        <x:f>IFERROR(__xludf.DUMMYFUNCTION("""COMPUTED_VALUE"""),"박나현")</x:f>
        <x:v>박나현</x:v>
      </x:c>
    </x:row>
    <x:row r="23" spans="2:2" ht="13.19999999999999928946">
      <x:c r="B23" s="9" t="str">
        <x:f>IFERROR(__xludf.DUMMYFUNCTION("""COMPUTED_VALUE"""),"권윤희")</x:f>
        <x:v>권윤희</x:v>
      </x:c>
    </x:row>
    <x:row r="24" spans="2:2" ht="13.19999999999999928946">
      <x:c r="B24" s="9" t="str">
        <x:f>IFERROR(__xludf.DUMMYFUNCTION("""COMPUTED_VALUE"""),"김현주")</x:f>
        <x:v>김현주</x:v>
      </x:c>
    </x:row>
    <x:row r="25" spans="2:2" ht="13.19999999999999928946">
      <x:c r="B25" s="9" t="str">
        <x:f>IFERROR(__xludf.DUMMYFUNCTION("""COMPUTED_VALUE"""),"김재현 ")</x:f>
        <x:v xml:space="preserve">김재현 </x:v>
      </x:c>
    </x:row>
    <x:row r="26" spans="2:2" ht="13.19999999999999928946">
      <x:c r="B26" s="9" t="str">
        <x:f>IFERROR(__xludf.DUMMYFUNCTION("""COMPUTED_VALUE"""),"신민기")</x:f>
        <x:v>신민기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outlinePr applyStyles="0" summaryBelow="0" summaryRight="1" showOutlineSymbols="1"/>
  </x:sheetPr>
  <x:dimension ref="B1:F28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.75" customHeight="1"/>
  <x:sheetData>
    <x:row r="1" spans="2:6" ht="13.19999999999999928946">
      <x:c r="B1" s="8" t="s">
        <x:v>56</x:v>
      </x:c>
      <x:c r="C1" s="8" t="s">
        <x:v>55</x:v>
      </x:c>
      <x:c r="D1" s="8" t="s">
        <x:v>59</x:v>
      </x:c>
      <x:c r="E1" s="8" t="s">
        <x:v>60</x:v>
      </x:c>
      <x:c r="F1" s="8" t="s">
        <x:v>61</x:v>
      </x:c>
    </x:row>
    <x:row r="2" spans="2:6" ht="13.19999999999999928946">
      <x:c r="B2" s="9" t="str">
        <x:f>IFERROR(__xludf.DUMMYFUNCTION("IFERROR(FILTER('설문지 응답 시트1'!$B:$B, REGEXMATCH('설문지 응답 시트1'!$G:$G, B$1)), """")"),"나혜나")</x:f>
        <x:v>나혜나</x:v>
      </x:c>
      <x:c r="C2" s="9" t="str">
        <x:f>IFERROR(__xludf.DUMMYFUNCTION("IFERROR(FILTER('설문지 응답 시트1'!$B:$B, REGEXMATCH('설문지 응답 시트1'!$G:$G, C$1)), """")"),"김수현")</x:f>
        <x:v>김수현</x:v>
      </x:c>
      <x:c r="D2" s="9" t="str">
        <x:f>IFERROR(__xludf.DUMMYFUNCTION("IFERROR(FILTER('설문지 응답 시트1'!$B:$B, REGEXMATCH('설문지 응답 시트1'!$G:$G, D$1)), """")"),"김수현")</x:f>
        <x:v>김수현</x:v>
      </x:c>
      <x:c r="E2" s="9" t="str">
        <x:f>IFERROR(__xludf.DUMMYFUNCTION("IFERROR(FILTER('설문지 응답 시트1'!$B:$B, REGEXMATCH('설문지 응답 시트1'!$G:$G, E$1)), """")"),"김수현")</x:f>
        <x:v>김수현</x:v>
      </x:c>
      <x:c r="F2" s="9" t="str">
        <x:f>IFERROR(__xludf.DUMMYFUNCTION("IFERROR(FILTER('설문지 응답 시트1'!$B:$B, REGEXMATCH('설문지 응답 시트1'!$G:$G, F$1)), """")"),"김수현")</x:f>
        <x:v>김수현</x:v>
      </x:c>
    </x:row>
    <x:row r="3" spans="2:6" ht="13.19999999999999928946">
      <x:c r="B3" s="9" t="str">
        <x:f>IFERROR(__xludf.DUMMYFUNCTION("""COMPUTED_VALUE"""),"박가온")</x:f>
        <x:v>박가온</x:v>
      </x:c>
      <x:c r="C3" s="9" t="str">
        <x:f>IFERROR(__xludf.DUMMYFUNCTION("""COMPUTED_VALUE"""),"나혜나")</x:f>
        <x:v>나혜나</x:v>
      </x:c>
      <x:c r="D3" s="9" t="str">
        <x:f>IFERROR(__xludf.DUMMYFUNCTION("""COMPUTED_VALUE"""),"나혜나")</x:f>
        <x:v>나혜나</x:v>
      </x:c>
      <x:c r="E3" s="9" t="str">
        <x:f>IFERROR(__xludf.DUMMYFUNCTION("""COMPUTED_VALUE"""),"나혜나")</x:f>
        <x:v>나혜나</x:v>
      </x:c>
      <x:c r="F3" s="9" t="str">
        <x:f>IFERROR(__xludf.DUMMYFUNCTION("""COMPUTED_VALUE"""),"나혜나")</x:f>
        <x:v>나혜나</x:v>
      </x:c>
    </x:row>
    <x:row r="4" spans="2:6" ht="13.19999999999999928946">
      <x:c r="B4" s="9" t="str">
        <x:f>IFERROR(__xludf.DUMMYFUNCTION("""COMPUTED_VALUE"""),"박주영")</x:f>
        <x:v>박주영</x:v>
      </x:c>
      <x:c r="C4" s="9" t="str">
        <x:f>IFERROR(__xludf.DUMMYFUNCTION("""COMPUTED_VALUE"""),"김재원")</x:f>
        <x:v>김재원</x:v>
      </x:c>
      <x:c r="D4" s="9" t="str">
        <x:f>IFERROR(__xludf.DUMMYFUNCTION("""COMPUTED_VALUE"""),"박고수")</x:f>
        <x:v>박고수</x:v>
      </x:c>
      <x:c r="E4" s="9" t="str">
        <x:f>IFERROR(__xludf.DUMMYFUNCTION("""COMPUTED_VALUE"""),"박진희")</x:f>
        <x:v>박진희</x:v>
      </x:c>
      <x:c r="F4" s="9" t="str">
        <x:f>IFERROR(__xludf.DUMMYFUNCTION("""COMPUTED_VALUE"""),"문승해")</x:f>
        <x:v>문승해</x:v>
      </x:c>
    </x:row>
    <x:row r="5" spans="2:6" ht="13.19999999999999928946">
      <x:c r="B5" s="9" t="str">
        <x:f>IFERROR(__xludf.DUMMYFUNCTION("""COMPUTED_VALUE"""),"권수민 ")</x:f>
        <x:v xml:space="preserve">권수민 </x:v>
      </x:c>
      <x:c r="C5" s="9" t="str">
        <x:f>IFERROR(__xludf.DUMMYFUNCTION("""COMPUTED_VALUE"""),"권나현")</x:f>
        <x:v>권나현</x:v>
      </x:c>
      <x:c r="D5" s="9" t="str">
        <x:f>IFERROR(__xludf.DUMMYFUNCTION("""COMPUTED_VALUE"""),"문승해")</x:f>
        <x:v>문승해</x:v>
      </x:c>
      <x:c r="E5" s="9" t="str">
        <x:f>IFERROR(__xludf.DUMMYFUNCTION("""COMPUTED_VALUE"""),"장세아")</x:f>
        <x:v>장세아</x:v>
      </x:c>
      <x:c r="F5" s="9" t="str">
        <x:f>IFERROR(__xludf.DUMMYFUNCTION("""COMPUTED_VALUE"""),"박주영")</x:f>
        <x:v>박주영</x:v>
      </x:c>
    </x:row>
    <x:row r="6" spans="2:6" ht="13.19999999999999928946">
      <x:c r="B6" s="9" t="str">
        <x:f>IFERROR(__xludf.DUMMYFUNCTION("""COMPUTED_VALUE"""),"김수원")</x:f>
        <x:v>김수원</x:v>
      </x:c>
      <x:c r="C6" s="9" t="str">
        <x:f>IFERROR(__xludf.DUMMYFUNCTION("""COMPUTED_VALUE"""),"김인영")</x:f>
        <x:v>김인영</x:v>
      </x:c>
      <x:c r="D6" s="9" t="str">
        <x:f>IFERROR(__xludf.DUMMYFUNCTION("""COMPUTED_VALUE"""),"최민혁")</x:f>
        <x:v>최민혁</x:v>
      </x:c>
      <x:c r="E6" s="9" t="str">
        <x:f>IFERROR(__xludf.DUMMYFUNCTION("""COMPUTED_VALUE"""),"최민혁")</x:f>
        <x:v>최민혁</x:v>
      </x:c>
      <x:c r="F6" s="9" t="str">
        <x:f>IFERROR(__xludf.DUMMYFUNCTION("""COMPUTED_VALUE"""),"권수민 ")</x:f>
        <x:v xml:space="preserve">권수민 </x:v>
      </x:c>
    </x:row>
    <x:row r="7" spans="2:6" ht="13.19999999999999928946">
      <x:c r="B7" s="9" t="str">
        <x:f>IFERROR(__xludf.DUMMYFUNCTION("""COMPUTED_VALUE"""),"김태양")</x:f>
        <x:v>김태양</x:v>
      </x:c>
      <x:c r="C7" s="9" t="str">
        <x:f>IFERROR(__xludf.DUMMYFUNCTION("""COMPUTED_VALUE"""),"박주영")</x:f>
        <x:v>박주영</x:v>
      </x:c>
      <x:c r="D7" s="9" t="str">
        <x:f>IFERROR(__xludf.DUMMYFUNCTION("""COMPUTED_VALUE"""),"최용준")</x:f>
        <x:v>최용준</x:v>
      </x:c>
      <x:c r="E7" s="9" t="str">
        <x:f>IFERROR(__xludf.DUMMYFUNCTION("""COMPUTED_VALUE"""),"김인영")</x:f>
        <x:v>김인영</x:v>
      </x:c>
      <x:c r="F7" s="9" t="str">
        <x:f>IFERROR(__xludf.DUMMYFUNCTION("""COMPUTED_VALUE"""),"윤준성")</x:f>
        <x:v>윤준성</x:v>
      </x:c>
    </x:row>
    <x:row r="8" spans="2:6" ht="13.19999999999999928946">
      <x:c r="B8" s="9" t="str">
        <x:f>IFERROR(__xludf.DUMMYFUNCTION("""COMPUTED_VALUE"""),"권대원")</x:f>
        <x:v>권대원</x:v>
      </x:c>
      <x:c r="C8" s="9" t="str">
        <x:f>IFERROR(__xludf.DUMMYFUNCTION("""COMPUTED_VALUE"""),"권수민 ")</x:f>
        <x:v xml:space="preserve">권수민 </x:v>
      </x:c>
      <x:c r="D8" s="9" t="str">
        <x:f>IFERROR(__xludf.DUMMYFUNCTION("""COMPUTED_VALUE"""),"김인영")</x:f>
        <x:v>김인영</x:v>
      </x:c>
      <x:c r="E8" s="9" t="str">
        <x:f>IFERROR(__xludf.DUMMYFUNCTION("""COMPUTED_VALUE"""),"박주영")</x:f>
        <x:v>박주영</x:v>
      </x:c>
      <x:c r="F8" s="9" t="str">
        <x:f>IFERROR(__xludf.DUMMYFUNCTION("""COMPUTED_VALUE"""),"김태양")</x:f>
        <x:v>김태양</x:v>
      </x:c>
    </x:row>
    <x:row r="9" spans="2:6" ht="13.19999999999999928946">
      <x:c r="B9" s="9" t="str">
        <x:f>IFERROR(__xludf.DUMMYFUNCTION("""COMPUTED_VALUE"""),"심유은")</x:f>
        <x:v>심유은</x:v>
      </x:c>
      <x:c r="C9" s="9" t="str">
        <x:f>IFERROR(__xludf.DUMMYFUNCTION("""COMPUTED_VALUE"""),"김시현")</x:f>
        <x:v>김시현</x:v>
      </x:c>
      <x:c r="D9" s="9" t="str">
        <x:f>IFERROR(__xludf.DUMMYFUNCTION("""COMPUTED_VALUE"""),"최민혁")</x:f>
        <x:v>최민혁</x:v>
      </x:c>
      <x:c r="E9" s="9" t="str">
        <x:f>IFERROR(__xludf.DUMMYFUNCTION("""COMPUTED_VALUE"""),"권수민 ")</x:f>
        <x:v xml:space="preserve">권수민 </x:v>
      </x:c>
      <x:c r="F9" s="9" t="str">
        <x:f>IFERROR(__xludf.DUMMYFUNCTION("""COMPUTED_VALUE"""),"권대원")</x:f>
        <x:v>권대원</x:v>
      </x:c>
    </x:row>
    <x:row r="10" spans="2:6" ht="13.19999999999999928946">
      <x:c r="B10" s="9" t="str">
        <x:f>IFERROR(__xludf.DUMMYFUNCTION("""COMPUTED_VALUE"""),"한수민")</x:f>
        <x:v>한수민</x:v>
      </x:c>
      <x:c r="C10" s="9" t="str">
        <x:f>IFERROR(__xludf.DUMMYFUNCTION("""COMPUTED_VALUE"""),"이승현")</x:f>
        <x:v>이승현</x:v>
      </x:c>
      <x:c r="D10" s="9" t="str">
        <x:f>IFERROR(__xludf.DUMMYFUNCTION("""COMPUTED_VALUE"""),"박주영")</x:f>
        <x:v>박주영</x:v>
      </x:c>
      <x:c r="E10" s="9" t="str">
        <x:f>IFERROR(__xludf.DUMMYFUNCTION("""COMPUTED_VALUE"""),"이현서")</x:f>
        <x:v>이현서</x:v>
      </x:c>
      <x:c r="F10" s="9" t="str">
        <x:f>IFERROR(__xludf.DUMMYFUNCTION("""COMPUTED_VALUE"""),"심유은")</x:f>
        <x:v>심유은</x:v>
      </x:c>
    </x:row>
    <x:row r="11" spans="2:6" ht="13.19999999999999928946">
      <x:c r="B11" s="9" t="str">
        <x:f>IFERROR(__xludf.DUMMYFUNCTION("""COMPUTED_VALUE"""),"서효령 ")</x:f>
        <x:v xml:space="preserve">서효령 </x:v>
      </x:c>
      <x:c r="C11" s="9" t="str">
        <x:f>IFERROR(__xludf.DUMMYFUNCTION("""COMPUTED_VALUE"""),"백현기")</x:f>
        <x:v>백현기</x:v>
      </x:c>
      <x:c r="D11" s="9" t="str">
        <x:f>IFERROR(__xludf.DUMMYFUNCTION("""COMPUTED_VALUE"""),"권수민 ")</x:f>
        <x:v xml:space="preserve">권수민 </x:v>
      </x:c>
      <x:c r="E11" s="9" t="str">
        <x:f>IFERROR(__xludf.DUMMYFUNCTION("""COMPUTED_VALUE"""),"윤준성")</x:f>
        <x:v>윤준성</x:v>
      </x:c>
      <x:c r="F11" s="9" t="str">
        <x:f>IFERROR(__xludf.DUMMYFUNCTION("""COMPUTED_VALUE"""),"이유정")</x:f>
        <x:v>이유정</x:v>
      </x:c>
    </x:row>
    <x:row r="12" spans="2:6" ht="13.19999999999999928946">
      <x:c r="B12" s="9" t="str">
        <x:f>IFERROR(__xludf.DUMMYFUNCTION("""COMPUTED_VALUE"""),"권대원")</x:f>
        <x:v>권대원</x:v>
      </x:c>
      <x:c r="C12" s="9" t="str">
        <x:f>IFERROR(__xludf.DUMMYFUNCTION("""COMPUTED_VALUE"""),"윤준성")</x:f>
        <x:v>윤준성</x:v>
      </x:c>
      <x:c r="D12" s="9" t="str">
        <x:f>IFERROR(__xludf.DUMMYFUNCTION("""COMPUTED_VALUE"""),"김시현")</x:f>
        <x:v>김시현</x:v>
      </x:c>
      <x:c r="E12" s="9" t="str">
        <x:f>IFERROR(__xludf.DUMMYFUNCTION("""COMPUTED_VALUE"""),"김태양")</x:f>
        <x:v>김태양</x:v>
      </x:c>
      <x:c r="F12" s="9" t="str">
        <x:f>IFERROR(__xludf.DUMMYFUNCTION("""COMPUTED_VALUE"""),"황예람")</x:f>
        <x:v>황예람</x:v>
      </x:c>
    </x:row>
    <x:row r="13" spans="2:6" ht="13.19999999999999928946">
      <x:c r="B13" s="9" t="str">
        <x:f>IFERROR(__xludf.DUMMYFUNCTION("""COMPUTED_VALUE"""),"유아인")</x:f>
        <x:v>유아인</x:v>
      </x:c>
      <x:c r="C13" s="9" t="str">
        <x:f>IFERROR(__xludf.DUMMYFUNCTION("""COMPUTED_VALUE"""),"김도영")</x:f>
        <x:v>김도영</x:v>
      </x:c>
      <x:c r="D13" s="9" t="str">
        <x:f>IFERROR(__xludf.DUMMYFUNCTION("""COMPUTED_VALUE"""),"이승현")</x:f>
        <x:v>이승현</x:v>
      </x:c>
      <x:c r="E13" s="9" t="str">
        <x:f>IFERROR(__xludf.DUMMYFUNCTION("""COMPUTED_VALUE"""),"권대원")</x:f>
        <x:v>권대원</x:v>
      </x:c>
      <x:c r="F13" s="9" t="str">
        <x:f>IFERROR(__xludf.DUMMYFUNCTION("""COMPUTED_VALUE"""),"김서영")</x:f>
        <x:v>김서영</x:v>
      </x:c>
    </x:row>
    <x:row r="14" spans="2:6" ht="13.19999999999999928946">
      <x:c r="B14" s="9" t="str">
        <x:f>IFERROR(__xludf.DUMMYFUNCTION("""COMPUTED_VALUE"""),"유아린")</x:f>
        <x:v>유아린</x:v>
      </x:c>
      <x:c r="C14" s="9" t="str">
        <x:f>IFERROR(__xludf.DUMMYFUNCTION("""COMPUTED_VALUE"""),"김태양")</x:f>
        <x:v>김태양</x:v>
      </x:c>
      <x:c r="D14" s="9" t="str">
        <x:f>IFERROR(__xludf.DUMMYFUNCTION("""COMPUTED_VALUE"""),"윤준성")</x:f>
        <x:v>윤준성</x:v>
      </x:c>
      <x:c r="E14" s="9" t="str">
        <x:f>IFERROR(__xludf.DUMMYFUNCTION("""COMPUTED_VALUE"""),"심유은")</x:f>
        <x:v>심유은</x:v>
      </x:c>
      <x:c r="F14" s="9" t="str">
        <x:f>IFERROR(__xludf.DUMMYFUNCTION("""COMPUTED_VALUE"""),"김현주")</x:f>
        <x:v>김현주</x:v>
      </x:c>
    </x:row>
    <x:row r="15" spans="2:6" ht="13.19999999999999928946">
      <x:c r="B15" s="9" t="str">
        <x:f>IFERROR(__xludf.DUMMYFUNCTION("""COMPUTED_VALUE"""),"권태현")</x:f>
        <x:v>권태현</x:v>
      </x:c>
      <x:c r="C15" s="9" t="str">
        <x:f>IFERROR(__xludf.DUMMYFUNCTION("""COMPUTED_VALUE"""),"박해솔")</x:f>
        <x:v>박해솔</x:v>
      </x:c>
      <x:c r="D15" s="9" t="str">
        <x:f>IFERROR(__xludf.DUMMYFUNCTION("""COMPUTED_VALUE"""),"김태양")</x:f>
        <x:v>김태양</x:v>
      </x:c>
      <x:c r="E15" s="9" t="str">
        <x:f>IFERROR(__xludf.DUMMYFUNCTION("""COMPUTED_VALUE"""),"신서현")</x:f>
        <x:v>신서현</x:v>
      </x:c>
      <x:c r="F15" s="9" t="str">
        <x:f>IFERROR(__xludf.DUMMYFUNCTION("""COMPUTED_VALUE"""),"김재현 ")</x:f>
        <x:v xml:space="preserve">김재현 </x:v>
      </x:c>
    </x:row>
    <x:row r="16" spans="2:6" ht="13.19999999999999928946">
      <x:c r="B16" s="9" t="str">
        <x:f>IFERROR(__xludf.DUMMYFUNCTION("""COMPUTED_VALUE"""),"김서윤")</x:f>
        <x:v>김서윤</x:v>
      </x:c>
      <x:c r="C16" s="9" t="str">
        <x:f>IFERROR(__xludf.DUMMYFUNCTION("""COMPUTED_VALUE"""),"권대원")</x:f>
        <x:v>권대원</x:v>
      </x:c>
      <x:c r="D16" s="9" t="str">
        <x:f>IFERROR(__xludf.DUMMYFUNCTION("""COMPUTED_VALUE"""),"권대원")</x:f>
        <x:v>권대원</x:v>
      </x:c>
      <x:c r="E16" s="9" t="str">
        <x:f>IFERROR(__xludf.DUMMYFUNCTION("""COMPUTED_VALUE"""),"손정호")</x:f>
        <x:v>손정호</x:v>
      </x:c>
      <x:c r="F16" s="9" t="str">
        <x:f>IFERROR(__xludf.DUMMYFUNCTION("""COMPUTED_VALUE"""),"류지호")</x:f>
        <x:v>류지호</x:v>
      </x:c>
    </x:row>
    <x:row r="17" spans="2:5" ht="13.19999999999999928946">
      <x:c r="B17" s="9" t="str">
        <x:f>IFERROR(__xludf.DUMMYFUNCTION("""COMPUTED_VALUE"""),"박나현")</x:f>
        <x:v>박나현</x:v>
      </x:c>
      <x:c r="C17" s="9" t="str">
        <x:f>IFERROR(__xludf.DUMMYFUNCTION("""COMPUTED_VALUE"""),"심유은")</x:f>
        <x:v>심유은</x:v>
      </x:c>
      <x:c r="D17" s="9" t="str">
        <x:f>IFERROR(__xludf.DUMMYFUNCTION("""COMPUTED_VALUE"""),"심유은")</x:f>
        <x:v>심유은</x:v>
      </x:c>
      <x:c r="E17" s="9" t="str">
        <x:f>IFERROR(__xludf.DUMMYFUNCTION("""COMPUTED_VALUE"""),"이유정")</x:f>
        <x:v>이유정</x:v>
      </x:c>
    </x:row>
    <x:row r="18" spans="2:5" ht="13.19999999999999928946">
      <x:c r="B18" s="9" t="str">
        <x:f>IFERROR(__xludf.DUMMYFUNCTION("""COMPUTED_VALUE"""),"김두성 ")</x:f>
        <x:v xml:space="preserve">김두성 </x:v>
      </x:c>
      <x:c r="C18" s="9" t="str">
        <x:f>IFERROR(__xludf.DUMMYFUNCTION("""COMPUTED_VALUE"""),"한수민")</x:f>
        <x:v>한수민</x:v>
      </x:c>
      <x:c r="D18" s="9" t="str">
        <x:f>IFERROR(__xludf.DUMMYFUNCTION("""COMPUTED_VALUE"""),"이형원")</x:f>
        <x:v>이형원</x:v>
      </x:c>
      <x:c r="E18" s="9" t="str">
        <x:f>IFERROR(__xludf.DUMMYFUNCTION("""COMPUTED_VALUE"""),"권윤희")</x:f>
        <x:v>권윤희</x:v>
      </x:c>
    </x:row>
    <x:row r="19" spans="2:5" ht="13.19999999999999928946">
      <x:c r="B19" s="9" t="str">
        <x:f>IFERROR(__xludf.DUMMYFUNCTION("""COMPUTED_VALUE"""),"김현주")</x:f>
        <x:v>김현주</x:v>
      </x:c>
      <x:c r="C19" s="9" t="str">
        <x:f>IFERROR(__xludf.DUMMYFUNCTION("""COMPUTED_VALUE"""),"서효령 ")</x:f>
        <x:v xml:space="preserve">서효령 </x:v>
      </x:c>
      <x:c r="D19" s="9" t="str">
        <x:f>IFERROR(__xludf.DUMMYFUNCTION("""COMPUTED_VALUE"""),"권하령")</x:f>
        <x:v>권하령</x:v>
      </x:c>
      <x:c r="E19" s="9" t="str">
        <x:f>IFERROR(__xludf.DUMMYFUNCTION("""COMPUTED_VALUE"""),"김현주")</x:f>
        <x:v>김현주</x:v>
      </x:c>
    </x:row>
    <x:row r="20" spans="3:5" ht="13.19999999999999928946">
      <x:c r="C20" s="9" t="str">
        <x:f>IFERROR(__xludf.DUMMYFUNCTION("""COMPUTED_VALUE"""),"강민채")</x:f>
        <x:v>강민채</x:v>
      </x:c>
      <x:c r="D20" s="9" t="str">
        <x:f>IFERROR(__xludf.DUMMYFUNCTION("""COMPUTED_VALUE"""),"손정호")</x:f>
        <x:v>손정호</x:v>
      </x:c>
      <x:c r="E20" s="9" t="str">
        <x:f>IFERROR(__xludf.DUMMYFUNCTION("""COMPUTED_VALUE"""),"신민기")</x:f>
        <x:v>신민기</x:v>
      </x:c>
    </x:row>
    <x:row r="21" spans="3:4" ht="13.19999999999999928946">
      <x:c r="C21" s="9" t="str">
        <x:f>IFERROR(__xludf.DUMMYFUNCTION("""COMPUTED_VALUE"""),"김수환 ")</x:f>
        <x:v xml:space="preserve">김수환 </x:v>
      </x:c>
      <x:c r="D21" s="9" t="str">
        <x:f>IFERROR(__xludf.DUMMYFUNCTION("""COMPUTED_VALUE"""),"김수환 ")</x:f>
        <x:v xml:space="preserve">김수환 </x:v>
      </x:c>
    </x:row>
    <x:row r="22" spans="3:4" ht="13.19999999999999928946">
      <x:c r="C22" s="9" t="str">
        <x:f>IFERROR(__xludf.DUMMYFUNCTION("""COMPUTED_VALUE"""),"강은성")</x:f>
        <x:v>강은성</x:v>
      </x:c>
      <x:c r="D22" s="9" t="str">
        <x:f>IFERROR(__xludf.DUMMYFUNCTION("""COMPUTED_VALUE"""),"이유정")</x:f>
        <x:v>이유정</x:v>
      </x:c>
    </x:row>
    <x:row r="23" spans="3:4" ht="13.19999999999999928946">
      <x:c r="C23" s="9" t="str">
        <x:f>IFERROR(__xludf.DUMMYFUNCTION("""COMPUTED_VALUE"""),"유아인")</x:f>
        <x:v>유아인</x:v>
      </x:c>
      <x:c r="D23" s="9" t="str">
        <x:f>IFERROR(__xludf.DUMMYFUNCTION("""COMPUTED_VALUE"""),"유아인")</x:f>
        <x:v>유아인</x:v>
      </x:c>
    </x:row>
    <x:row r="24" spans="3:4" ht="13.19999999999999928946">
      <x:c r="C24" s="9" t="str">
        <x:f>IFERROR(__xludf.DUMMYFUNCTION("""COMPUTED_VALUE"""),"전우현")</x:f>
        <x:v>전우현</x:v>
      </x:c>
      <x:c r="D24" s="9" t="str">
        <x:f>IFERROR(__xludf.DUMMYFUNCTION("""COMPUTED_VALUE"""),"이정현")</x:f>
        <x:v>이정현</x:v>
      </x:c>
    </x:row>
    <x:row r="25" spans="3:4" ht="13.19999999999999928946">
      <x:c r="C25" s="9" t="str">
        <x:f>IFERROR(__xludf.DUMMYFUNCTION("""COMPUTED_VALUE"""),"김서윤")</x:f>
        <x:v>김서윤</x:v>
      </x:c>
      <x:c r="D25" s="9" t="str">
        <x:f>IFERROR(__xludf.DUMMYFUNCTION("""COMPUTED_VALUE"""),"김서윤")</x:f>
        <x:v>김서윤</x:v>
      </x:c>
    </x:row>
    <x:row r="26" spans="3:4" ht="13.19999999999999928946">
      <x:c r="C26" s="9" t="str">
        <x:f>IFERROR(__xludf.DUMMYFUNCTION("""COMPUTED_VALUE"""),"박나현")</x:f>
        <x:v>박나현</x:v>
      </x:c>
      <x:c r="D26" s="9" t="str">
        <x:f>IFERROR(__xludf.DUMMYFUNCTION("""COMPUTED_VALUE"""),"구민경")</x:f>
        <x:v>구민경</x:v>
      </x:c>
    </x:row>
    <x:row r="27" spans="3:4" ht="13.19999999999999928946">
      <x:c r="C27" s="9" t="str">
        <x:f>IFERROR(__xludf.DUMMYFUNCTION("""COMPUTED_VALUE"""),"구민경")</x:f>
        <x:v>구민경</x:v>
      </x:c>
      <x:c r="D27" s="9" t="str">
        <x:f>IFERROR(__xludf.DUMMYFUNCTION("""COMPUTED_VALUE"""),"김현주")</x:f>
        <x:v>김현주</x:v>
      </x:c>
    </x:row>
    <x:row r="28" spans="3:4" ht="13.19999999999999928946">
      <x:c r="C28" s="9" t="str">
        <x:f>IFERROR(__xludf.DUMMYFUNCTION("""COMPUTED_VALUE"""),"김현주")</x:f>
        <x:v>김현주</x:v>
      </x:c>
      <x:c r="D28" s="9" t="str">
        <x:f>IFERROR(__xludf.DUMMYFUNCTION("""COMPUTED_VALUE"""),"류지호")</x:f>
        <x:v>류지호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outlinePr applyStyles="0" summaryBelow="0" summaryRight="1" showOutlineSymbols="1"/>
  </x:sheetPr>
  <x:dimension ref="B1:F24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.75" customHeight="1"/>
  <x:sheetData>
    <x:row r="1" spans="2:6" ht="13.19999999999999928946">
      <x:c r="B1" s="8" t="s">
        <x:v>53</x:v>
      </x:c>
      <x:c r="C1" s="8" t="s">
        <x:v>58</x:v>
      </x:c>
      <x:c r="D1" s="8" t="s">
        <x:v>62</x:v>
      </x:c>
      <x:c r="E1" s="8" t="s">
        <x:v>57</x:v>
      </x:c>
      <x:c r="F1" s="8" t="s">
        <x:v>54</x:v>
      </x:c>
    </x:row>
    <x:row r="2" spans="2:6" ht="13.19999999999999928946">
      <x:c r="B2" s="9" t="str">
        <x:f>IFERROR(__xludf.DUMMYFUNCTION("IFERROR(FILTER('설문지 응답 시트1'!$B:$B, REGEXMATCH('설문지 응답 시트1'!$H:$H, B$1)), """")"),"이나라")</x:f>
        <x:v>이나라</x:v>
      </x:c>
      <x:c r="C2" s="9" t="str">
        <x:f>IFERROR(__xludf.DUMMYFUNCTION("IFERROR(FILTER('설문지 응답 시트1'!$B:$B, REGEXMATCH('설문지 응답 시트1'!$H:$H, C$1)), """")"),"이나라")</x:f>
        <x:v>이나라</x:v>
      </x:c>
      <x:c r="D2" s="9" t="str">
        <x:f>IFERROR(__xludf.DUMMYFUNCTION("IFERROR(FILTER('설문지 응답 시트1'!$B:$B, REGEXMATCH('설문지 응답 시트1'!$H:$H, D$1)), """")"),"이나라")</x:f>
        <x:v>이나라</x:v>
      </x:c>
      <x:c r="E2" s="9" t="str">
        <x:f>IFERROR(__xludf.DUMMYFUNCTION("IFERROR(FILTER('설문지 응답 시트1'!$B:$B, REGEXMATCH('설문지 응답 시트1'!$H:$H, E$1)), """")"),"김수현")</x:f>
        <x:v>김수현</x:v>
      </x:c>
      <x:c r="F2" s="9" t="str">
        <x:f>IFERROR(__xludf.DUMMYFUNCTION("IFERROR(FILTER('설문지 응답 시트1'!$B:$B, REGEXMATCH('설문지 응답 시트1'!$H:$H, F$1)), """")"),"김수현")</x:f>
        <x:v>김수현</x:v>
      </x:c>
    </x:row>
    <x:row r="3" spans="2:6" ht="13.19999999999999928946">
      <x:c r="B3" s="9" t="str">
        <x:f>IFERROR(__xludf.DUMMYFUNCTION("""COMPUTED_VALUE"""),"나혜나")</x:f>
        <x:v>나혜나</x:v>
      </x:c>
      <x:c r="C3" s="9" t="str">
        <x:f>IFERROR(__xludf.DUMMYFUNCTION("""COMPUTED_VALUE"""),"나혜나")</x:f>
        <x:v>나혜나</x:v>
      </x:c>
      <x:c r="D3" s="9" t="str">
        <x:f>IFERROR(__xludf.DUMMYFUNCTION("""COMPUTED_VALUE"""),"나혜나")</x:f>
        <x:v>나혜나</x:v>
      </x:c>
      <x:c r="E3" s="9" t="str">
        <x:f>IFERROR(__xludf.DUMMYFUNCTION("""COMPUTED_VALUE"""),"이나라")</x:f>
        <x:v>이나라</x:v>
      </x:c>
      <x:c r="F3" s="9" t="str">
        <x:f>IFERROR(__xludf.DUMMYFUNCTION("""COMPUTED_VALUE"""),"이나라")</x:f>
        <x:v>이나라</x:v>
      </x:c>
    </x:row>
    <x:row r="4" spans="2:6" ht="13.19999999999999928946">
      <x:c r="B4" s="9" t="str">
        <x:f>IFERROR(__xludf.DUMMYFUNCTION("""COMPUTED_VALUE"""),"김인영")</x:f>
        <x:v>김인영</x:v>
      </x:c>
      <x:c r="C4" s="9" t="str">
        <x:f>IFERROR(__xludf.DUMMYFUNCTION("""COMPUTED_VALUE"""),"최용준")</x:f>
        <x:v>최용준</x:v>
      </x:c>
      <x:c r="D4" s="9" t="str">
        <x:f>IFERROR(__xludf.DUMMYFUNCTION("""COMPUTED_VALUE"""),"박고수")</x:f>
        <x:v>박고수</x:v>
      </x:c>
      <x:c r="E4" s="9" t="str">
        <x:f>IFERROR(__xludf.DUMMYFUNCTION("""COMPUTED_VALUE"""),"나혜나")</x:f>
        <x:v>나혜나</x:v>
      </x:c>
      <x:c r="F4" s="9" t="str">
        <x:f>IFERROR(__xludf.DUMMYFUNCTION("""COMPUTED_VALUE"""),"나혜나")</x:f>
        <x:v>나혜나</x:v>
      </x:c>
    </x:row>
    <x:row r="5" spans="2:6" ht="13.19999999999999928946">
      <x:c r="B5" s="9" t="str">
        <x:f>IFERROR(__xludf.DUMMYFUNCTION("""COMPUTED_VALUE"""),"박주영")</x:f>
        <x:v>박주영</x:v>
      </x:c>
      <x:c r="C5" s="9" t="str">
        <x:f>IFERROR(__xludf.DUMMYFUNCTION("""COMPUTED_VALUE"""),"김인영")</x:f>
        <x:v>김인영</x:v>
      </x:c>
      <x:c r="D5" s="9" t="str">
        <x:f>IFERROR(__xludf.DUMMYFUNCTION("""COMPUTED_VALUE"""),"문승해")</x:f>
        <x:v>문승해</x:v>
      </x:c>
      <x:c r="E5" s="9" t="str">
        <x:f>IFERROR(__xludf.DUMMYFUNCTION("""COMPUTED_VALUE"""),"박진희")</x:f>
        <x:v>박진희</x:v>
      </x:c>
      <x:c r="F5" s="9" t="str">
        <x:f>IFERROR(__xludf.DUMMYFUNCTION("""COMPUTED_VALUE"""),"문승해")</x:f>
        <x:v>문승해</x:v>
      </x:c>
    </x:row>
    <x:row r="6" spans="2:6" ht="13.19999999999999928946">
      <x:c r="B6" s="9" t="str">
        <x:f>IFERROR(__xludf.DUMMYFUNCTION("""COMPUTED_VALUE"""),"권수민 ")</x:f>
        <x:v xml:space="preserve">권수민 </x:v>
      </x:c>
      <x:c r="C6" s="9" t="str">
        <x:f>IFERROR(__xludf.DUMMYFUNCTION("""COMPUTED_VALUE"""),"박주영")</x:f>
        <x:v>박주영</x:v>
      </x:c>
      <x:c r="D6" s="9" t="str">
        <x:f>IFERROR(__xludf.DUMMYFUNCTION("""COMPUTED_VALUE"""),"권나현")</x:f>
        <x:v>권나현</x:v>
      </x:c>
      <x:c r="E6" s="9" t="str">
        <x:f>IFERROR(__xludf.DUMMYFUNCTION("""COMPUTED_VALUE"""),"김인영")</x:f>
        <x:v>김인영</x:v>
      </x:c>
      <x:c r="F6" s="9" t="str">
        <x:f>IFERROR(__xludf.DUMMYFUNCTION("""COMPUTED_VALUE"""),"권수민 ")</x:f>
        <x:v xml:space="preserve">권수민 </x:v>
      </x:c>
    </x:row>
    <x:row r="7" spans="2:6" ht="13.19999999999999928946">
      <x:c r="B7" s="9" t="str">
        <x:f>IFERROR(__xludf.DUMMYFUNCTION("""COMPUTED_VALUE"""),"백현기")</x:f>
        <x:v>백현기</x:v>
      </x:c>
      <x:c r="C7" s="9" t="str">
        <x:f>IFERROR(__xludf.DUMMYFUNCTION("""COMPUTED_VALUE"""),"권수민 ")</x:f>
        <x:v xml:space="preserve">권수민 </x:v>
      </x:c>
      <x:c r="D7" s="9" t="str">
        <x:f>IFERROR(__xludf.DUMMYFUNCTION("""COMPUTED_VALUE"""),"김인영")</x:f>
        <x:v>김인영</x:v>
      </x:c>
      <x:c r="E7" s="9" t="str">
        <x:f>IFERROR(__xludf.DUMMYFUNCTION("""COMPUTED_VALUE"""),"박주영")</x:f>
        <x:v>박주영</x:v>
      </x:c>
      <x:c r="F7" s="9" t="str">
        <x:f>IFERROR(__xludf.DUMMYFUNCTION("""COMPUTED_VALUE"""),"김태양")</x:f>
        <x:v>김태양</x:v>
      </x:c>
    </x:row>
    <x:row r="8" spans="2:6" ht="13.19999999999999928946">
      <x:c r="B8" s="9" t="str">
        <x:f>IFERROR(__xludf.DUMMYFUNCTION("""COMPUTED_VALUE"""),"권대원")</x:f>
        <x:v>권대원</x:v>
      </x:c>
      <x:c r="C8" s="9" t="str">
        <x:f>IFERROR(__xludf.DUMMYFUNCTION("""COMPUTED_VALUE"""),"김태양")</x:f>
        <x:v>김태양</x:v>
      </x:c>
      <x:c r="D8" s="9" t="str">
        <x:f>IFERROR(__xludf.DUMMYFUNCTION("""COMPUTED_VALUE"""),"박주영")</x:f>
        <x:v>박주영</x:v>
      </x:c>
      <x:c r="E8" s="9" t="str">
        <x:f>IFERROR(__xludf.DUMMYFUNCTION("""COMPUTED_VALUE"""),"권수민 ")</x:f>
        <x:v xml:space="preserve">권수민 </x:v>
      </x:c>
      <x:c r="F8" s="9" t="str">
        <x:f>IFERROR(__xludf.DUMMYFUNCTION("""COMPUTED_VALUE"""),"권대원")</x:f>
        <x:v>권대원</x:v>
      </x:c>
    </x:row>
    <x:row r="9" spans="2:6" ht="13.19999999999999928946">
      <x:c r="B9" s="9" t="str">
        <x:f>IFERROR(__xludf.DUMMYFUNCTION("""COMPUTED_VALUE"""),"심유은")</x:f>
        <x:v>심유은</x:v>
      </x:c>
      <x:c r="C9" s="9" t="str">
        <x:f>IFERROR(__xludf.DUMMYFUNCTION("""COMPUTED_VALUE"""),"박해솔")</x:f>
        <x:v>박해솔</x:v>
      </x:c>
      <x:c r="D9" s="9" t="str">
        <x:f>IFERROR(__xludf.DUMMYFUNCTION("""COMPUTED_VALUE"""),"권수민 ")</x:f>
        <x:v xml:space="preserve">권수민 </x:v>
      </x:c>
      <x:c r="E9" s="9" t="str">
        <x:f>IFERROR(__xludf.DUMMYFUNCTION("""COMPUTED_VALUE"""),"이현서")</x:f>
        <x:v>이현서</x:v>
      </x:c>
      <x:c r="F9" s="9" t="str">
        <x:f>IFERROR(__xludf.DUMMYFUNCTION("""COMPUTED_VALUE"""),"심유은")</x:f>
        <x:v>심유은</x:v>
      </x:c>
    </x:row>
    <x:row r="10" spans="2:6" ht="13.19999999999999928946">
      <x:c r="B10" s="9" t="str">
        <x:f>IFERROR(__xludf.DUMMYFUNCTION("""COMPUTED_VALUE"""),"한수민")</x:f>
        <x:v>한수민</x:v>
      </x:c>
      <x:c r="C10" s="9" t="str">
        <x:f>IFERROR(__xludf.DUMMYFUNCTION("""COMPUTED_VALUE"""),"권대원")</x:f>
        <x:v>권대원</x:v>
      </x:c>
      <x:c r="D10" s="9" t="str">
        <x:f>IFERROR(__xludf.DUMMYFUNCTION("""COMPUTED_VALUE"""),"김태양")</x:f>
        <x:v>김태양</x:v>
      </x:c>
      <x:c r="E10" s="9" t="str">
        <x:f>IFERROR(__xludf.DUMMYFUNCTION("""COMPUTED_VALUE"""),"김태양")</x:f>
        <x:v>김태양</x:v>
      </x:c>
      <x:c r="F10" s="9" t="str">
        <x:f>IFERROR(__xludf.DUMMYFUNCTION("""COMPUTED_VALUE"""),"한수민")</x:f>
        <x:v>한수민</x:v>
      </x:c>
    </x:row>
    <x:row r="11" spans="2:6" ht="13.19999999999999928946">
      <x:c r="B11" s="9" t="str">
        <x:f>IFERROR(__xludf.DUMMYFUNCTION("""COMPUTED_VALUE"""),"서효령 ")</x:f>
        <x:v xml:space="preserve">서효령 </x:v>
      </x:c>
      <x:c r="C11" s="9" t="str">
        <x:f>IFERROR(__xludf.DUMMYFUNCTION("""COMPUTED_VALUE"""),"심유은")</x:f>
        <x:v>심유은</x:v>
      </x:c>
      <x:c r="D11" s="9" t="str">
        <x:f>IFERROR(__xludf.DUMMYFUNCTION("""COMPUTED_VALUE"""),"권대원")</x:f>
        <x:v>권대원</x:v>
      </x:c>
      <x:c r="E11" s="9" t="str">
        <x:f>IFERROR(__xludf.DUMMYFUNCTION("""COMPUTED_VALUE"""),"권대원")</x:f>
        <x:v>권대원</x:v>
      </x:c>
      <x:c r="F11" s="9" t="str">
        <x:f>IFERROR(__xludf.DUMMYFUNCTION("""COMPUTED_VALUE"""),"김서영")</x:f>
        <x:v>김서영</x:v>
      </x:c>
    </x:row>
    <x:row r="12" spans="2:6" ht="13.19999999999999928946">
      <x:c r="B12" s="9" t="str">
        <x:f>IFERROR(__xludf.DUMMYFUNCTION("""COMPUTED_VALUE"""),"우지웅")</x:f>
        <x:v>우지웅</x:v>
      </x:c>
      <x:c r="C12" s="9" t="str">
        <x:f>IFERROR(__xludf.DUMMYFUNCTION("""COMPUTED_VALUE"""),"한수민")</x:f>
        <x:v>한수민</x:v>
      </x:c>
      <x:c r="D12" s="9" t="str">
        <x:f>IFERROR(__xludf.DUMMYFUNCTION("""COMPUTED_VALUE"""),"심유은")</x:f>
        <x:v>심유은</x:v>
      </x:c>
      <x:c r="E12" s="9" t="str">
        <x:f>IFERROR(__xludf.DUMMYFUNCTION("""COMPUTED_VALUE"""),"심유은")</x:f>
        <x:v>심유은</x:v>
      </x:c>
      <x:c r="F12" s="9" t="str">
        <x:f>IFERROR(__xludf.DUMMYFUNCTION("""COMPUTED_VALUE"""),"김수환 ")</x:f>
        <x:v xml:space="preserve">김수환 </x:v>
      </x:c>
    </x:row>
    <x:row r="13" spans="2:6" ht="13.19999999999999928946">
      <x:c r="B13" s="9" t="str">
        <x:f>IFERROR(__xludf.DUMMYFUNCTION("""COMPUTED_VALUE"""),"권하령")</x:f>
        <x:v>권하령</x:v>
      </x:c>
      <x:c r="C13" s="9" t="str">
        <x:f>IFERROR(__xludf.DUMMYFUNCTION("""COMPUTED_VALUE"""),"서효령 ")</x:f>
        <x:v xml:space="preserve">서효령 </x:v>
      </x:c>
      <x:c r="D13" s="9" t="str">
        <x:f>IFERROR(__xludf.DUMMYFUNCTION("""COMPUTED_VALUE"""),"신서현")</x:f>
        <x:v>신서현</x:v>
      </x:c>
      <x:c r="E13" s="9" t="str">
        <x:f>IFERROR(__xludf.DUMMYFUNCTION("""COMPUTED_VALUE"""),"한수민")</x:f>
        <x:v>한수민</x:v>
      </x:c>
      <x:c r="F13" s="9" t="str">
        <x:f>IFERROR(__xludf.DUMMYFUNCTION("""COMPUTED_VALUE"""),"황예람")</x:f>
        <x:v>황예람</x:v>
      </x:c>
    </x:row>
    <x:row r="14" spans="2:6" ht="13.19999999999999928946">
      <x:c r="B14" s="9" t="str">
        <x:f>IFERROR(__xludf.DUMMYFUNCTION("""COMPUTED_VALUE"""),"손민석 ")</x:f>
        <x:v xml:space="preserve">손민석 </x:v>
      </x:c>
      <x:c r="C14" s="9" t="str">
        <x:f>IFERROR(__xludf.DUMMYFUNCTION("""COMPUTED_VALUE"""),"이형원")</x:f>
        <x:v>이형원</x:v>
      </x:c>
      <x:c r="D14" s="9" t="str">
        <x:f>IFERROR(__xludf.DUMMYFUNCTION("""COMPUTED_VALUE"""),"한수민")</x:f>
        <x:v>한수민</x:v>
      </x:c>
      <x:c r="E14" s="9" t="str">
        <x:f>IFERROR(__xludf.DUMMYFUNCTION("""COMPUTED_VALUE"""),"손정호")</x:f>
        <x:v>손정호</x:v>
      </x:c>
      <x:c r="F14" s="9" t="str">
        <x:f>IFERROR(__xludf.DUMMYFUNCTION("""COMPUTED_VALUE"""),"김서영")</x:f>
        <x:v>김서영</x:v>
      </x:c>
    </x:row>
    <x:row r="15" spans="2:6" ht="13.19999999999999928946">
      <x:c r="B15" s="9" t="str">
        <x:f>IFERROR(__xludf.DUMMYFUNCTION("""COMPUTED_VALUE"""),"권대원")</x:f>
        <x:v>권대원</x:v>
      </x:c>
      <x:c r="C15" s="9" t="str">
        <x:f>IFERROR(__xludf.DUMMYFUNCTION("""COMPUTED_VALUE"""),"강민채")</x:f>
        <x:v>강민채</x:v>
      </x:c>
      <x:c r="D15" s="9" t="str">
        <x:f>IFERROR(__xludf.DUMMYFUNCTION("""COMPUTED_VALUE"""),"김서영")</x:f>
        <x:v>김서영</x:v>
      </x:c>
      <x:c r="E15" s="9" t="str">
        <x:f>IFERROR(__xludf.DUMMYFUNCTION("""COMPUTED_VALUE"""),"김수환 ")</x:f>
        <x:v xml:space="preserve">김수환 </x:v>
      </x:c>
      <x:c r="F15" s="9" t="str">
        <x:f>IFERROR(__xludf.DUMMYFUNCTION("""COMPUTED_VALUE"""),"김현주")</x:f>
        <x:v>김현주</x:v>
      </x:c>
    </x:row>
    <x:row r="16" spans="2:6" ht="13.19999999999999928946">
      <x:c r="B16" s="9" t="str">
        <x:f>IFERROR(__xludf.DUMMYFUNCTION("""COMPUTED_VALUE"""),"유아인")</x:f>
        <x:v>유아인</x:v>
      </x:c>
      <x:c r="C16" s="9" t="str">
        <x:f>IFERROR(__xludf.DUMMYFUNCTION("""COMPUTED_VALUE"""),"유아인")</x:f>
        <x:v>유아인</x:v>
      </x:c>
      <x:c r="D16" s="9" t="str">
        <x:f>IFERROR(__xludf.DUMMYFUNCTION("""COMPUTED_VALUE"""),"이형원")</x:f>
        <x:v>이형원</x:v>
      </x:c>
      <x:c r="E16" s="9" t="str">
        <x:f>IFERROR(__xludf.DUMMYFUNCTION("""COMPUTED_VALUE"""),"황예서")</x:f>
        <x:v>황예서</x:v>
      </x:c>
      <x:c r="F16" s="9" t="str">
        <x:f>IFERROR(__xludf.DUMMYFUNCTION("""COMPUTED_VALUE"""),"류지호")</x:f>
        <x:v>류지호</x:v>
      </x:c>
    </x:row>
    <x:row r="17" spans="2:5" ht="13.19999999999999928946">
      <x:c r="B17" s="9" t="str">
        <x:f>IFERROR(__xludf.DUMMYFUNCTION("""COMPUTED_VALUE"""),"권태현")</x:f>
        <x:v>권태현</x:v>
      </x:c>
      <x:c r="C17" s="9" t="str">
        <x:f>IFERROR(__xludf.DUMMYFUNCTION("""COMPUTED_VALUE"""),"전우현")</x:f>
        <x:v>전우현</x:v>
      </x:c>
      <x:c r="D17" s="9" t="str">
        <x:f>IFERROR(__xludf.DUMMYFUNCTION("""COMPUTED_VALUE"""),"손정호")</x:f>
        <x:v>손정호</x:v>
      </x:c>
      <x:c r="E17" s="9" t="str">
        <x:f>IFERROR(__xludf.DUMMYFUNCTION("""COMPUTED_VALUE"""),"김현주")</x:f>
        <x:v>김현주</x:v>
      </x:c>
    </x:row>
    <x:row r="18" spans="2:4" ht="13.19999999999999928946">
      <x:c r="B18" s="9" t="str">
        <x:f>IFERROR(__xludf.DUMMYFUNCTION("""COMPUTED_VALUE"""),"김서윤")</x:f>
        <x:v>김서윤</x:v>
      </x:c>
      <x:c r="C18" s="9" t="str">
        <x:f>IFERROR(__xludf.DUMMYFUNCTION("""COMPUTED_VALUE"""),"김서윤")</x:f>
        <x:v>김서윤</x:v>
      </x:c>
      <x:c r="D18" s="9" t="str">
        <x:f>IFERROR(__xludf.DUMMYFUNCTION("""COMPUTED_VALUE"""),"유아인")</x:f>
        <x:v>유아인</x:v>
      </x:c>
    </x:row>
    <x:row r="19" spans="2:4" ht="13.19999999999999928946">
      <x:c r="B19" s="9" t="str">
        <x:f>IFERROR(__xludf.DUMMYFUNCTION("""COMPUTED_VALUE"""),"김두성 ")</x:f>
        <x:v xml:space="preserve">김두성 </x:v>
      </x:c>
      <x:c r="C19" s="9" t="str">
        <x:f>IFERROR(__xludf.DUMMYFUNCTION("""COMPUTED_VALUE"""),"권윤희")</x:f>
        <x:v>권윤희</x:v>
      </x:c>
      <x:c r="D19" s="9" t="str">
        <x:f>IFERROR(__xludf.DUMMYFUNCTION("""COMPUTED_VALUE"""),"이정현")</x:f>
        <x:v>이정현</x:v>
      </x:c>
    </x:row>
    <x:row r="20" spans="2:4" ht="13.19999999999999928946">
      <x:c r="B20" s="9" t="str">
        <x:f>IFERROR(__xludf.DUMMYFUNCTION("""COMPUTED_VALUE"""),"김현주")</x:f>
        <x:v>김현주</x:v>
      </x:c>
      <x:c r="C20" s="9" t="str">
        <x:f>IFERROR(__xludf.DUMMYFUNCTION("""COMPUTED_VALUE"""),"구민경")</x:f>
        <x:v>구민경</x:v>
      </x:c>
      <x:c r="D20" s="9" t="str">
        <x:f>IFERROR(__xludf.DUMMYFUNCTION("""COMPUTED_VALUE"""),"김서영")</x:f>
        <x:v>김서영</x:v>
      </x:c>
    </x:row>
    <x:row r="21" spans="2:4" ht="13.19999999999999928946">
      <x:c r="B21" s="9" t="str">
        <x:f>IFERROR(__xludf.DUMMYFUNCTION("""COMPUTED_VALUE"""),"김재현 ")</x:f>
        <x:v xml:space="preserve">김재현 </x:v>
      </x:c>
      <x:c r="C21" s="9" t="str">
        <x:f>IFERROR(__xludf.DUMMYFUNCTION("""COMPUTED_VALUE"""),"김현주")</x:f>
        <x:v>김현주</x:v>
      </x:c>
      <x:c r="D21" s="9" t="str">
        <x:f>IFERROR(__xludf.DUMMYFUNCTION("""COMPUTED_VALUE"""),"김서윤")</x:f>
        <x:v>김서윤</x:v>
      </x:c>
    </x:row>
    <x:row r="22" spans="4:4" ht="13.19999999999999928946">
      <x:c r="D22" s="9" t="str">
        <x:f>IFERROR(__xludf.DUMMYFUNCTION("""COMPUTED_VALUE"""),"구민경")</x:f>
        <x:v>구민경</x:v>
      </x:c>
    </x:row>
    <x:row r="23" spans="4:4" ht="13.19999999999999928946">
      <x:c r="D23" s="9" t="str">
        <x:f>IFERROR(__xludf.DUMMYFUNCTION("""COMPUTED_VALUE"""),"김현주")</x:f>
        <x:v>김현주</x:v>
      </x:c>
    </x:row>
    <x:row r="24" spans="4:4" ht="13.19999999999999928946">
      <x:c r="D24" s="9" t="str">
        <x:f>IFERROR(__xludf.DUMMYFUNCTION("""COMPUTED_VALUE"""),"류지호")</x:f>
        <x:v>류지호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outlinePr applyStyles="0" summaryBelow="0" summaryRight="1" showOutlineSymbols="1"/>
  </x:sheetPr>
  <x:dimension ref="B1:I18"/>
  <x:sheetViews>
    <x:sheetView topLeftCell="A1" zoomScaleNormal="75" zoomScaleSheetLayoutView="100" workbookViewId="0">
      <x:selection activeCell="I22" activeCellId="0" sqref="I22:I22"/>
    </x:sheetView>
  </x:sheetViews>
  <x:sheetFormatPr defaultColWidth="12.62890625" defaultRowHeight="15.75" customHeight="1"/>
  <x:sheetData>
    <x:row r="1" spans="2:9" ht="13.19999999999999928946">
      <x:c r="B1" s="8" t="s">
        <x:v>37</x:v>
      </x:c>
      <x:c r="C1" s="8" t="s">
        <x:v>24</x:v>
      </x:c>
      <x:c r="D1" s="8" t="s">
        <x:v>19</x:v>
      </x:c>
      <x:c r="E1" s="8" t="s">
        <x:v>26</x:v>
      </x:c>
      <x:c r="F1" s="8" t="s">
        <x:v>27</x:v>
      </x:c>
      <x:c r="G1" s="8" t="s">
        <x:v>38</x:v>
      </x:c>
      <x:c r="H1" s="8" t="s">
        <x:v>256</x:v>
      </x:c>
      <x:c r="I1" s="8" t="s">
        <x:v>247</x:v>
      </x:c>
    </x:row>
    <x:row r="2" spans="2:9" ht="13.19999999999999928946">
      <x:c r="B2" s="9" t="str">
        <x:f>IFERROR(__xludf.DUMMYFUNCTION("IFERROR(FILTER('설문지 응답 시트1'!$B:$B, REGEXMATCH('설문지 응답 시트1'!$I:$I&amp;'설문지 응답 시트1'!$J:$J&amp;'설문지 응답 시트1'!$K:$K, B$1)), """")"),"김재원")</x:f>
        <x:v>김재원</x:v>
      </x:c>
      <x:c r="C2" s="9" t="str">
        <x:f>IFERROR(__xludf.DUMMYFUNCTION("IFERROR(FILTER('설문지 응답 시트1'!$B:$B, REGEXMATCH('설문지 응답 시트1'!$I:$I&amp;'설문지 응답 시트1'!$J:$J&amp;'설문지 응답 시트1'!$K:$K, C$1)), """")"),"박고수")</x:f>
        <x:v>박고수</x:v>
      </x:c>
      <x:c r="D2" s="9" t="str">
        <x:f>IFERROR(__xludf.DUMMYFUNCTION("IFERROR(FILTER('설문지 응답 시트1'!$B:$B, REGEXMATCH('설문지 응답 시트1'!$I:$I&amp;'설문지 응답 시트1'!$J:$J&amp;'설문지 응답 시트1'!$K:$K, D$1)), """")"),"")</x:f>
        <x:v/>
      </x:c>
      <x:c r="E2" s="9" t="str">
        <x:f>IFERROR(__xludf.DUMMYFUNCTION("IFERROR(FILTER('설문지 응답 시트1'!$B:$B, REGEXMATCH('설문지 응답 시트1'!$I:$I&amp;'설문지 응답 시트1'!$J:$J&amp;'설문지 응답 시트1'!$K:$K, E$1)), """")"),"박진희")</x:f>
        <x:v>박진희</x:v>
      </x:c>
      <x:c r="F2" s="9" t="str">
        <x:f>IFERROR(__xludf.DUMMYFUNCTION("IFERROR(FILTER('설문지 응답 시트1'!$B:$B, REGEXMATCH('설문지 응답 시트1'!$I:$I&amp;'설문지 응답 시트1'!$J:$J&amp;'설문지 응답 시트1'!$K:$K, F$1)), """")"),"박가온")</x:f>
        <x:v>박가온</x:v>
      </x:c>
      <x:c r="G2" s="9" t="str">
        <x:f>IFERROR(__xludf.DUMMYFUNCTION("IFERROR(FILTER('설문지 응답 시트1'!$B:$B, REGEXMATCH('설문지 응답 시트1'!$I:$I&amp;'설문지 응답 시트1'!$J:$J&amp;'설문지 응답 시트1'!$K:$K, G$1)), """")"),"김수현")</x:f>
        <x:v>김수현</x:v>
      </x:c>
      <x:c r="H2" s="9" t="str">
        <x:f>IFERROR(__xludf.DUMMYFUNCTION("IFERROR(FILTER('설문지 응답 시트1'!$B:$B, REGEXMATCH('설문지 응답 시트1'!$I:$I&amp;'설문지 응답 시트1'!$J:$J&amp;'설문지 응답 시트1'!$K:$K, H$1)), """")"),"박가온")</x:f>
        <x:v>박가온</x:v>
      </x:c>
      <x:c r="I2" s="9" t="str">
        <x:f>IFERROR(__xludf.DUMMYFUNCTION("IFERROR(FILTER('설문지 응답 시트1'!$B:$B, REGEXMATCH('설문지 응답 시트1'!$I:$I&amp;'설문지 응답 시트1'!$J:$J&amp;'설문지 응답 시트1'!$K:$K, I$1)), """")"),"김수현")</x:f>
        <x:v>김수현</x:v>
      </x:c>
    </x:row>
    <x:row r="3" spans="2:9" ht="13.19999999999999928946">
      <x:c r="B3" s="9" t="str">
        <x:f>IFERROR(__xludf.DUMMYFUNCTION("""COMPUTED_VALUE"""),"최민혁")</x:f>
        <x:v>최민혁</x:v>
      </x:c>
      <x:c r="C3" s="9" t="str">
        <x:f>IFERROR(__xludf.DUMMYFUNCTION("""COMPUTED_VALUE"""),"권수민 ")</x:f>
        <x:v xml:space="preserve">권수민 </x:v>
      </x:c>
      <x:c r="E3" s="9" t="str">
        <x:f>IFERROR(__xludf.DUMMYFUNCTION("""COMPUTED_VALUE"""),"김태양")</x:f>
        <x:v>김태양</x:v>
      </x:c>
      <x:c r="F3" s="9" t="str">
        <x:f>IFERROR(__xludf.DUMMYFUNCTION("""COMPUTED_VALUE"""),"이현서")</x:f>
        <x:v>이현서</x:v>
      </x:c>
      <x:c r="G3" s="9" t="str">
        <x:f>IFERROR(__xludf.DUMMYFUNCTION("""COMPUTED_VALUE"""),"이나라")</x:f>
        <x:v>이나라</x:v>
      </x:c>
      <x:c r="H3" s="9" t="str">
        <x:f>IFERROR(__xludf.DUMMYFUNCTION("""COMPUTED_VALUE"""),"천유림")</x:f>
        <x:v>천유림</x:v>
      </x:c>
      <x:c r="I3" s="9" t="str">
        <x:f>IFERROR(__xludf.DUMMYFUNCTION("""COMPUTED_VALUE"""),"이나라")</x:f>
        <x:v>이나라</x:v>
      </x:c>
    </x:row>
    <x:row r="4" spans="2:9" ht="13.19999999999999928946">
      <x:c r="B4" s="9" t="str">
        <x:f>IFERROR(__xludf.DUMMYFUNCTION("""COMPUTED_VALUE"""),"최민혁")</x:f>
        <x:v>최민혁</x:v>
      </x:c>
      <x:c r="C4" s="9" t="str">
        <x:f>IFERROR(__xludf.DUMMYFUNCTION("""COMPUTED_VALUE"""),"신서현")</x:f>
        <x:v>신서현</x:v>
      </x:c>
      <x:c r="E4" s="9" t="str">
        <x:f>IFERROR(__xludf.DUMMYFUNCTION("""COMPUTED_VALUE"""),"권대원")</x:f>
        <x:v>권대원</x:v>
      </x:c>
      <x:c r="F4" s="9" t="str">
        <x:f>IFERROR(__xludf.DUMMYFUNCTION("""COMPUTED_VALUE"""),"김민서")</x:f>
        <x:v>김민서</x:v>
      </x:c>
      <x:c r="G4" s="9" t="str">
        <x:f>IFERROR(__xludf.DUMMYFUNCTION("""COMPUTED_VALUE"""),"나혜나")</x:f>
        <x:v>나혜나</x:v>
      </x:c>
      <x:c r="H4" s="9" t="str">
        <x:f>IFERROR(__xludf.DUMMYFUNCTION("""COMPUTED_VALUE"""),"김서현")</x:f>
        <x:v>김서현</x:v>
      </x:c>
      <x:c r="I4" s="9" t="str">
        <x:f>IFERROR(__xludf.DUMMYFUNCTION("""COMPUTED_VALUE"""),"나혜나")</x:f>
        <x:v>나혜나</x:v>
      </x:c>
    </x:row>
    <x:row r="5" spans="2:9" ht="13.19999999999999928946">
      <x:c r="B5" s="9" t="str">
        <x:f>IFERROR(__xludf.DUMMYFUNCTION("""COMPUTED_VALUE"""),"한수민")</x:f>
        <x:v>한수민</x:v>
      </x:c>
      <x:c r="E5" s="9" t="str">
        <x:f>IFERROR(__xludf.DUMMYFUNCTION("""COMPUTED_VALUE"""),"권대원")</x:f>
        <x:v>권대원</x:v>
      </x:c>
      <x:c r="F5" s="9" t="str">
        <x:f>IFERROR(__xludf.DUMMYFUNCTION("""COMPUTED_VALUE"""),"김민서")</x:f>
        <x:v>김민서</x:v>
      </x:c>
      <x:c r="G5" s="9" t="str">
        <x:f>IFERROR(__xludf.DUMMYFUNCTION("""COMPUTED_VALUE"""),"문승해")</x:f>
        <x:v>문승해</x:v>
      </x:c>
      <x:c r="H5" s="9" t="str">
        <x:f>IFERROR(__xludf.DUMMYFUNCTION("""COMPUTED_VALUE"""),"장세아")</x:f>
        <x:v>장세아</x:v>
      </x:c>
      <x:c r="I5" s="9" t="str">
        <x:f>IFERROR(__xludf.DUMMYFUNCTION("""COMPUTED_VALUE"""),"박고수")</x:f>
        <x:v>박고수</x:v>
      </x:c>
    </x:row>
    <x:row r="6" spans="2:9" ht="13.19999999999999928946">
      <x:c r="B6" s="9" t="str">
        <x:f>IFERROR(__xludf.DUMMYFUNCTION("""COMPUTED_VALUE"""),"김서영")</x:f>
        <x:v>김서영</x:v>
      </x:c>
      <x:c r="E6" s="9" t="str">
        <x:f>IFERROR(__xludf.DUMMYFUNCTION("""COMPUTED_VALUE"""),"유아인")</x:f>
        <x:v>유아인</x:v>
      </x:c>
      <x:c r="F6" s="9" t="str">
        <x:f>IFERROR(__xludf.DUMMYFUNCTION("""COMPUTED_VALUE"""),"권태현")</x:f>
        <x:v>권태현</x:v>
      </x:c>
      <x:c r="G6" s="9" t="str">
        <x:f>IFERROR(__xludf.DUMMYFUNCTION("""COMPUTED_VALUE"""),"김도영")</x:f>
        <x:v>김도영</x:v>
      </x:c>
      <x:c r="H6" s="9" t="str">
        <x:f>IFERROR(__xludf.DUMMYFUNCTION("""COMPUTED_VALUE"""),"이현서")</x:f>
        <x:v>이현서</x:v>
      </x:c>
      <x:c r="I6" s="9" t="str">
        <x:f>IFERROR(__xludf.DUMMYFUNCTION("""COMPUTED_VALUE"""),"권수민 ")</x:f>
        <x:v xml:space="preserve">권수민 </x:v>
      </x:c>
    </x:row>
    <x:row r="7" spans="2:9" ht="13.19999999999999928946">
      <x:c r="B7" s="9" t="str">
        <x:f>IFERROR(__xludf.DUMMYFUNCTION("""COMPUTED_VALUE"""),"이형원")</x:f>
        <x:v>이형원</x:v>
      </x:c>
      <x:c r="E7" s="9" t="str">
        <x:f>IFERROR(__xludf.DUMMYFUNCTION("""COMPUTED_VALUE"""),"이정현")</x:f>
        <x:v>이정현</x:v>
      </x:c>
      <x:c r="F7" s="9" t="str">
        <x:f>IFERROR(__xludf.DUMMYFUNCTION("""COMPUTED_VALUE"""),"권윤희")</x:f>
        <x:v>권윤희</x:v>
      </x:c>
      <x:c r="G7" s="9" t="str">
        <x:f>IFERROR(__xludf.DUMMYFUNCTION("""COMPUTED_VALUE"""),"심유은")</x:f>
        <x:v>심유은</x:v>
      </x:c>
      <x:c r="H7" s="9" t="str">
        <x:f>IFERROR(__xludf.DUMMYFUNCTION("""COMPUTED_VALUE"""),"한수민")</x:f>
        <x:v>한수민</x:v>
      </x:c>
      <x:c r="I7" s="9" t="str">
        <x:f>IFERROR(__xludf.DUMMYFUNCTION("""COMPUTED_VALUE"""),"김시현")</x:f>
        <x:v>김시현</x:v>
      </x:c>
    </x:row>
    <x:row r="8" spans="2:9" ht="13.19999999999999928946">
      <x:c r="B8" s="9" t="str">
        <x:f>IFERROR(__xludf.DUMMYFUNCTION("""COMPUTED_VALUE"""),"우지웅")</x:f>
        <x:v>우지웅</x:v>
      </x:c>
      <x:c r="E8" s="9" t="str">
        <x:f>IFERROR(__xludf.DUMMYFUNCTION("""COMPUTED_VALUE"""),"김재현 ")</x:f>
        <x:v xml:space="preserve">김재현 </x:v>
      </x:c>
      <x:c r="F8" s="9" t="str">
        <x:f>IFERROR(__xludf.DUMMYFUNCTION("""COMPUTED_VALUE"""),"구민경")</x:f>
        <x:v>구민경</x:v>
      </x:c>
      <x:c r="H8" s="9" t="str">
        <x:f>IFERROR(__xludf.DUMMYFUNCTION("""COMPUTED_VALUE"""),"이형원")</x:f>
        <x:v>이형원</x:v>
      </x:c>
      <x:c r="I8" s="9" t="str">
        <x:f>IFERROR(__xludf.DUMMYFUNCTION("""COMPUTED_VALUE"""),"이승현")</x:f>
        <x:v>이승현</x:v>
      </x:c>
    </x:row>
    <x:row r="9" spans="2:9" ht="13.19999999999999928946">
      <x:c r="B9" s="9" t="str">
        <x:f>IFERROR(__xludf.DUMMYFUNCTION("""COMPUTED_VALUE"""),"이유정")</x:f>
        <x:v>이유정</x:v>
      </x:c>
      <x:c r="E9" s="9" t="str">
        <x:f>IFERROR(__xludf.DUMMYFUNCTION("""COMPUTED_VALUE"""),"류지호")</x:f>
        <x:v>류지호</x:v>
      </x:c>
      <x:c r="H9" s="9" t="str">
        <x:f>IFERROR(__xludf.DUMMYFUNCTION("""COMPUTED_VALUE"""),"손민석 ")</x:f>
        <x:v xml:space="preserve">손민석 </x:v>
      </x:c>
      <x:c r="I9" s="9" t="str">
        <x:f>IFERROR(__xludf.DUMMYFUNCTION("""COMPUTED_VALUE"""),"백현기")</x:f>
        <x:v>백현기</x:v>
      </x:c>
    </x:row>
    <x:row r="10" spans="2:9" ht="13.19999999999999928946">
      <x:c r="B10" s="9" t="str">
        <x:f>IFERROR(__xludf.DUMMYFUNCTION("""COMPUTED_VALUE"""),"유아린")</x:f>
        <x:v>유아린</x:v>
      </x:c>
      <x:c r="H10" s="9" t="str">
        <x:f>IFERROR(__xludf.DUMMYFUNCTION("""COMPUTED_VALUE"""),"강민채")</x:f>
        <x:v>강민채</x:v>
      </x:c>
      <x:c r="I10" s="9" t="str">
        <x:f>IFERROR(__xludf.DUMMYFUNCTION("""COMPUTED_VALUE"""),"김태양")</x:f>
        <x:v>김태양</x:v>
      </x:c>
    </x:row>
    <x:row r="11" spans="2:9" ht="13.19999999999999928946">
      <x:c r="B11" s="9" t="str">
        <x:f>IFERROR(__xludf.DUMMYFUNCTION("""COMPUTED_VALUE"""),"황예람")</x:f>
        <x:v>황예람</x:v>
      </x:c>
      <x:c r="H11" s="9" t="str">
        <x:f>IFERROR(__xludf.DUMMYFUNCTION("""COMPUTED_VALUE"""),"손정호")</x:f>
        <x:v>손정호</x:v>
      </x:c>
      <x:c r="I11" s="9" t="str">
        <x:f>IFERROR(__xludf.DUMMYFUNCTION("""COMPUTED_VALUE"""),"박해솔")</x:f>
        <x:v>박해솔</x:v>
      </x:c>
    </x:row>
    <x:row r="12" spans="2:9" ht="13.19999999999999928946">
      <x:c r="B12" s="9" t="str">
        <x:f>IFERROR(__xludf.DUMMYFUNCTION("""COMPUTED_VALUE"""),"황예서")</x:f>
        <x:v>황예서</x:v>
      </x:c>
      <x:c r="H12" s="9" t="str">
        <x:f>IFERROR(__xludf.DUMMYFUNCTION("""COMPUTED_VALUE"""),"이유정")</x:f>
        <x:v>이유정</x:v>
      </x:c>
      <x:c r="I12" s="9" t="str">
        <x:f>IFERROR(__xludf.DUMMYFUNCTION("""COMPUTED_VALUE"""),"심유은")</x:f>
        <x:v>심유은</x:v>
      </x:c>
    </x:row>
    <x:row r="13" spans="2:9" ht="13.19999999999999928946">
      <x:c r="B13" s="9" t="str">
        <x:f>IFERROR(__xludf.DUMMYFUNCTION("""COMPUTED_VALUE"""),"김서영")</x:f>
        <x:v>김서영</x:v>
      </x:c>
      <x:c r="H13" s="9" t="str">
        <x:f>IFERROR(__xludf.DUMMYFUNCTION("""COMPUTED_VALUE"""),"유아린")</x:f>
        <x:v>유아린</x:v>
      </x:c>
      <x:c r="I13" s="9" t="str">
        <x:f>IFERROR(__xludf.DUMMYFUNCTION("""COMPUTED_VALUE"""),"권대원")</x:f>
        <x:v>권대원</x:v>
      </x:c>
    </x:row>
    <x:row r="14" spans="2:9" ht="13.19999999999999928946">
      <x:c r="B14" s="9" t="str">
        <x:f>IFERROR(__xludf.DUMMYFUNCTION("""COMPUTED_VALUE"""),"신민기")</x:f>
        <x:v>신민기</x:v>
      </x:c>
      <x:c r="H14" s="9" t="str">
        <x:f>IFERROR(__xludf.DUMMYFUNCTION("""COMPUTED_VALUE"""),"이정현")</x:f>
        <x:v>이정현</x:v>
      </x:c>
      <x:c r="I14" s="9" t="str">
        <x:f>IFERROR(__xludf.DUMMYFUNCTION("""COMPUTED_VALUE"""),"유아인")</x:f>
        <x:v>유아인</x:v>
      </x:c>
    </x:row>
    <x:row r="15" spans="8:9" ht="13.19999999999999928946">
      <x:c r="H15" s="9" t="str">
        <x:f>IFERROR(__xludf.DUMMYFUNCTION("""COMPUTED_VALUE"""),"권태현")</x:f>
        <x:v>권태현</x:v>
      </x:c>
      <x:c r="I15" s="9" t="str">
        <x:f>IFERROR(__xludf.DUMMYFUNCTION("""COMPUTED_VALUE"""),"김현주")</x:f>
        <x:v>김현주</x:v>
      </x:c>
    </x:row>
    <x:row r="16" spans="8:9" ht="13.19999999999999928946">
      <x:c r="H16" s="9" t="str">
        <x:f>IFERROR(__xludf.DUMMYFUNCTION("""COMPUTED_VALUE"""),"김서윤")</x:f>
        <x:v>김서윤</x:v>
      </x:c>
      <x:c r="I16" s="9" t="str">
        <x:f>IFERROR(__xludf.DUMMYFUNCTION("""COMPUTED_VALUE"""),"김재현 ")</x:f>
        <x:v xml:space="preserve">김재현 </x:v>
      </x:c>
    </x:row>
    <x:row r="17" spans="8:8" ht="13.19999999999999928946">
      <x:c r="H17" s="9" t="str">
        <x:f>IFERROR(__xludf.DUMMYFUNCTION("""COMPUTED_VALUE"""),"구민경")</x:f>
        <x:v>구민경</x:v>
      </x:c>
    </x:row>
    <x:row r="18" spans="8:8" ht="13.19999999999999928946">
      <x:c r="H18" s="9" t="str">
        <x:f>IFERROR(__xludf.DUMMYFUNCTION("""COMPUTED_VALUE"""),"신민기")</x:f>
        <x:v>신민기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outlinePr applyStyles="0" summaryBelow="0" summaryRight="1" showOutlineSymbols="1"/>
  </x:sheetPr>
  <x:dimension ref="A1:I38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.75" customHeight="1"/>
  <x:sheetData>
    <x:row r="1" spans="1:9" ht="13.19999999999999928946">
      <x:c r="A1" s="8" t="s">
        <x:v>25</x:v>
      </x:c>
      <x:c r="B1" s="8" t="s">
        <x:v>214</x:v>
      </x:c>
      <x:c r="C1" s="8" t="s">
        <x:v>28</x:v>
      </x:c>
      <x:c r="D1" s="8" t="s">
        <x:v>254</x:v>
      </x:c>
      <x:c r="E1" s="8" t="s">
        <x:v>30</x:v>
      </x:c>
      <x:c r="F1" s="8" t="s">
        <x:v>255</x:v>
      </x:c>
      <x:c r="G1" s="8" t="s">
        <x:v>31</x:v>
      </x:c>
      <x:c r="H1" s="8" t="s">
        <x:v>257</x:v>
      </x:c>
      <x:c r="I1" s="8" t="s">
        <x:v>32</x:v>
      </x:c>
    </x:row>
    <x:row r="2" spans="1:8" ht="13.19999999999999928946">
      <x:c r="A2" s="8" t="s">
        <x:v>261</x:v>
      </x:c>
      <x:c r="B2" s="8" t="s">
        <x:v>33</x:v>
      </x:c>
      <x:c r="C2" s="11" t="s">
        <x:v>140</x:v>
      </x:c>
      <x:c r="D2" s="8" t="s">
        <x:v>242</x:v>
      </x:c>
      <x:c r="E2" s="8" t="s">
        <x:v>136</x:v>
      </x:c>
      <x:c r="F2" s="8">
        <x:v>20</x:v>
      </x:c>
      <x:c r="G2" s="9">
        <x:f>IFERROR(__xludf.DUMMYFUNCTION("IF($I2=TRUE,"""",IF($D2="""","""",IFS($A2=""월"",SUM(ARRAYFORMULA(--REGEXMATCH(TO_TEXT('설문지 응답 시트1'!$D$66:$D1000),""(^|[^A-Za-z0-9])""&amp;$D2&amp;""([^A-Za-z0-9]|$)""))),$A2=""화"",SUM(ARRAYFORMULA(--REGEXMATCH(TO_TEXT('설문지 응답 시트1'!$E$66:$E1000),""(^|[^A-Za-z0-9])"&amp;"""&amp;$D2&amp;""([^A-Za-z0-9]|$)""))),$A2=""금"",SUM(ARRAYFORMULA(--REGEXMATCH(TO_TEXT('설문지 응답 시트1'!$F$66:$F1000),""(^|[^A-Za-z0-9])""&amp;$D2&amp;""([^A-Za-z0-9]|$)""))),$A2=""토"",SUM(ARRAYFORMULA(--REGEXMATCH(TO_TEXT('설문지 응답 시트1'!$G$66:$G1000),""(^|[^A-Za-z0-9])""&amp;$D2&amp;"&amp;"""([^A-Za-z0-9]|$)""))),$A2=""일"",SUM(ARRAYFORMULA(--REGEXMATCH(TO_TEXT('설문지 응답 시트1'!$H$66:$H1000),""(^|[^A-Za-z0-9])""&amp;$D2&amp;""([^A-Za-z0-9]|$)""))),$A2=""비교과"",SUM(ARRAYFORMULA(--REGEXMATCH(TO_TEXT('설문지 응답 시트1'!$I$66:$J1000),""(^|[^A-Za-z0-9])""&amp;$D2&amp;""([^"&amp;"A-Za-z0-9]|$)""))),$A2=""진로"",SUM(ARRAYFORMULA(--REGEXMATCH(TO_TEXT('설문지 응답 시트1'!$K$66:$K1000),""(^|[^A-Za-z0-9])""&amp;$D2&amp;""([^A-Za-z0-9]|$)""))),TRUE,"""")))"),0)</x:f>
        <x:v>0</x:v>
      </x:c>
      <x:c r="H2" s="9" t="str">
        <x:f t="shared" ref="H2:H38" si="0">IF($I2=TRUE,"항상 표시",IF($G2="","",IF($G2&gt;=$F2,"마감","신청 가능")))</x:f>
        <x:v>신청 가능</x:v>
      </x:c>
    </x:row>
    <x:row r="3" spans="1:8" ht="13.19999999999999928946">
      <x:c r="A3" s="8" t="s">
        <x:v>261</x:v>
      </x:c>
      <x:c r="B3" s="8" t="s">
        <x:v>33</x:v>
      </x:c>
      <x:c r="C3" s="11" t="s">
        <x:v>140</x:v>
      </x:c>
      <x:c r="D3" s="8" t="s">
        <x:v>239</x:v>
      </x:c>
      <x:c r="E3" s="8" t="s">
        <x:v>139</x:v>
      </x:c>
      <x:c r="F3" s="8">
        <x:v>20</x:v>
      </x:c>
      <x:c r="G3" s="8">
        <x:v>0</x:v>
      </x:c>
      <x:c r="H3" s="9" t="str">
        <x:f t="shared" si="0"/>
        <x:v>신청 가능</x:v>
      </x:c>
    </x:row>
    <x:row r="4" spans="1:8" ht="13.19999999999999928946">
      <x:c r="A4" s="8" t="s">
        <x:v>261</x:v>
      </x:c>
      <x:c r="B4" s="8" t="s">
        <x:v>33</x:v>
      </x:c>
      <x:c r="C4" s="11" t="s">
        <x:v>140</x:v>
      </x:c>
      <x:c r="D4" s="8" t="s">
        <x:v>253</x:v>
      </x:c>
      <x:c r="E4" s="8" t="s">
        <x:v>133</x:v>
      </x:c>
      <x:c r="F4" s="8">
        <x:v>20</x:v>
      </x:c>
      <x:c r="G4" s="9">
        <x:f>IFERROR(__xludf.DUMMYFUNCTION("IF($I4=TRUE,"""",IF($D4="""","""",IFS($A4=""월"",SUM(ARRAYFORMULA(--REGEXMATCH(TO_TEXT('설문지 응답 시트1'!$D$66:$D1000),""(^|[^A-Za-z0-9])""&amp;$D4&amp;""([^A-Za-z0-9]|$)""))),$A4=""화"",SUM(ARRAYFORMULA(--REGEXMATCH(TO_TEXT('설문지 응답 시트1'!$E$66:$E1000),""(^|[^A-Za-z0-9])"&amp;"""&amp;$D4&amp;""([^A-Za-z0-9]|$)""))),$A4=""금"",SUM(ARRAYFORMULA(--REGEXMATCH(TO_TEXT('설문지 응답 시트1'!$F$66:$F1000),""(^|[^A-Za-z0-9])""&amp;$D4&amp;""([^A-Za-z0-9]|$)""))),$A4=""토"",SUM(ARRAYFORMULA(--REGEXMATCH(TO_TEXT('설문지 응답 시트1'!$G$66:$G1000),""(^|[^A-Za-z0-9])""&amp;$D4&amp;"&amp;"""([^A-Za-z0-9]|$)""))),$A4=""일"",SUM(ARRAYFORMULA(--REGEXMATCH(TO_TEXT('설문지 응답 시트1'!$H$66:$H1000),""(^|[^A-Za-z0-9])""&amp;$D4&amp;""([^A-Za-z0-9]|$)""))),$A4=""비교과"",SUM(ARRAYFORMULA(--REGEXMATCH(TO_TEXT('설문지 응답 시트1'!$I$66:$J1000),""(^|[^A-Za-z0-9])""&amp;$D4&amp;""([^"&amp;"A-Za-z0-9]|$)""))),$A4=""진로"",SUM(ARRAYFORMULA(--REGEXMATCH(TO_TEXT('설문지 응답 시트1'!$K$66:$K1000),""(^|[^A-Za-z0-9])""&amp;$D4&amp;""([^A-Za-z0-9]|$)""))),TRUE,"""")))"),0)</x:f>
        <x:v>0</x:v>
      </x:c>
      <x:c r="H4" s="9" t="str">
        <x:f t="shared" si="0"/>
        <x:v>신청 가능</x:v>
      </x:c>
    </x:row>
    <x:row r="5" spans="1:8" ht="13.19999999999999928946">
      <x:c r="A5" s="8" t="s">
        <x:v>261</x:v>
      </x:c>
      <x:c r="B5" s="8" t="s">
        <x:v>33</x:v>
      </x:c>
      <x:c r="C5" s="11" t="s">
        <x:v>140</x:v>
      </x:c>
      <x:c r="D5" s="8" t="s">
        <x:v>248</x:v>
      </x:c>
      <x:c r="E5" s="8" t="s">
        <x:v>134</x:v>
      </x:c>
      <x:c r="F5" s="8">
        <x:v>20</x:v>
      </x:c>
      <x:c r="G5" s="9">
        <x:f>IFERROR(__xludf.DUMMYFUNCTION("IF($I5=TRUE,"""",IF($D5="""","""",IFS($A5=""월"",SUM(ARRAYFORMULA(--REGEXMATCH(TO_TEXT('설문지 응답 시트1'!$D$66:$D1000),""(^|[^A-Za-z0-9])""&amp;$D5&amp;""([^A-Za-z0-9]|$)""))),$A5=""화"",SUM(ARRAYFORMULA(--REGEXMATCH(TO_TEXT('설문지 응답 시트1'!$E$66:$E1000),""(^|[^A-Za-z0-9])"&amp;"""&amp;$D5&amp;""([^A-Za-z0-9]|$)""))),$A5=""금"",SUM(ARRAYFORMULA(--REGEXMATCH(TO_TEXT('설문지 응답 시트1'!$F$66:$F1000),""(^|[^A-Za-z0-9])""&amp;$D5&amp;""([^A-Za-z0-9]|$)""))),$A5=""토"",SUM(ARRAYFORMULA(--REGEXMATCH(TO_TEXT('설문지 응답 시트1'!$G$66:$G1000),""(^|[^A-Za-z0-9])""&amp;$D5&amp;"&amp;"""([^A-Za-z0-9]|$)""))),$A5=""일"",SUM(ARRAYFORMULA(--REGEXMATCH(TO_TEXT('설문지 응답 시트1'!$H$66:$H1000),""(^|[^A-Za-z0-9])""&amp;$D5&amp;""([^A-Za-z0-9]|$)""))),$A5=""비교과"",SUM(ARRAYFORMULA(--REGEXMATCH(TO_TEXT('설문지 응답 시트1'!$I$66:$J1000),""(^|[^A-Za-z0-9])""&amp;$D5&amp;""([^"&amp;"A-Za-z0-9]|$)""))),$A5=""진로"",SUM(ARRAYFORMULA(--REGEXMATCH(TO_TEXT('설문지 응답 시트1'!$K$66:$K1000),""(^|[^A-Za-z0-9])""&amp;$D5&amp;""([^A-Za-z0-9]|$)""))),TRUE,"""")))"),0)</x:f>
        <x:v>0</x:v>
      </x:c>
      <x:c r="H5" s="9" t="str">
        <x:f t="shared" si="0"/>
        <x:v>신청 가능</x:v>
      </x:c>
    </x:row>
    <x:row r="6" spans="1:9" ht="13.19999999999999928946">
      <x:c r="A6" s="8" t="s">
        <x:v>261</x:v>
      </x:c>
      <x:c r="B6" s="8" t="s">
        <x:v>33</x:v>
      </x:c>
      <x:c r="C6" s="11" t="s">
        <x:v>140</x:v>
      </x:c>
      <x:c r="E6" s="8" t="s">
        <x:v>21</x:v>
      </x:c>
      <x:c r="G6" s="9" t="str">
        <x:f>IFERROR(__xludf.DUMMYFUNCTION("IF($I6=TRUE,"""",IF($D6="""","""",IFS($A6=""월"",SUM(ARRAYFORMULA(--REGEXMATCH(TO_TEXT('설문지 응답 시트1'!$D$66:$D1000),""(^|[^A-Za-z0-9])""&amp;$D6&amp;""([^A-Za-z0-9]|$)""))),$A6=""화"",SUM(ARRAYFORMULA(--REGEXMATCH(TO_TEXT('설문지 응답 시트1'!$E$66:$E1000),""(^|[^A-Za-z0-9])"&amp;"""&amp;$D6&amp;""([^A-Za-z0-9]|$)""))),$A6=""금"",SUM(ARRAYFORMULA(--REGEXMATCH(TO_TEXT('설문지 응답 시트1'!$F$66:$F1000),""(^|[^A-Za-z0-9])""&amp;$D6&amp;""([^A-Za-z0-9]|$)""))),$A6=""토"",SUM(ARRAYFORMULA(--REGEXMATCH(TO_TEXT('설문지 응답 시트1'!$G$66:$G1000),""(^|[^A-Za-z0-9])""&amp;$D6&amp;"&amp;"""([^A-Za-z0-9]|$)""))),$A6=""일"",SUM(ARRAYFORMULA(--REGEXMATCH(TO_TEXT('설문지 응답 시트1'!$H$66:$H1000),""(^|[^A-Za-z0-9])""&amp;$D6&amp;""([^A-Za-z0-9]|$)""))),$A6=""비교과"",SUM(ARRAYFORMULA(--REGEXMATCH(TO_TEXT('설문지 응답 시트1'!$I$66:$J1000),""(^|[^A-Za-z0-9])""&amp;$D6&amp;""([^"&amp;"A-Za-z0-9]|$)""))),$A6=""진로"",SUM(ARRAYFORMULA(--REGEXMATCH(TO_TEXT('설문지 응답 시트1'!$K$66:$K1000),""(^|[^A-Za-z0-9])""&amp;$D6&amp;""([^A-Za-z0-9]|$)""))),TRUE,"""")))"),"")</x:f>
        <x:v/>
      </x:c>
      <x:c r="H6" s="9" t="str">
        <x:f t="shared" si="0"/>
        <x:v>항상 표시</x:v>
      </x:c>
      <x:c r="I6" s="8" t="b">
        <x:v>1</x:v>
      </x:c>
    </x:row>
    <x:row r="7" spans="1:8" ht="13.19999999999999928946">
      <x:c r="A7" s="8" t="s">
        <x:v>259</x:v>
      </x:c>
      <x:c r="B7" s="8" t="s">
        <x:v>34</x:v>
      </x:c>
      <x:c r="C7" s="11" t="s">
        <x:v>141</x:v>
      </x:c>
      <x:c r="D7" s="8" t="s">
        <x:v>244</x:v>
      </x:c>
      <x:c r="E7" s="8" t="s">
        <x:v>132</x:v>
      </x:c>
      <x:c r="F7" s="8">
        <x:v>20</x:v>
      </x:c>
      <x:c r="G7" s="9">
        <x:f>IFERROR(__xludf.DUMMYFUNCTION("IF($I7=TRUE,"""",IF($D7="""","""",IFS($A7=""월"",SUM(ARRAYFORMULA(--REGEXMATCH(TO_TEXT('설문지 응답 시트1'!$D$66:$D1000),""(^|[^A-Za-z0-9])""&amp;$D7&amp;""([^A-Za-z0-9]|$)""))),$A7=""화"",SUM(ARRAYFORMULA(--REGEXMATCH(TO_TEXT('설문지 응답 시트1'!$E$66:$E1000),""(^|[^A-Za-z0-9])"&amp;"""&amp;$D7&amp;""([^A-Za-z0-9]|$)""))),$A7=""금"",SUM(ARRAYFORMULA(--REGEXMATCH(TO_TEXT('설문지 응답 시트1'!$F$66:$F1000),""(^|[^A-Za-z0-9])""&amp;$D7&amp;""([^A-Za-z0-9]|$)""))),$A7=""토"",SUM(ARRAYFORMULA(--REGEXMATCH(TO_TEXT('설문지 응답 시트1'!$G$66:$G1000),""(^|[^A-Za-z0-9])""&amp;$D7&amp;"&amp;"""([^A-Za-z0-9]|$)""))),$A7=""일"",SUM(ARRAYFORMULA(--REGEXMATCH(TO_TEXT('설문지 응답 시트1'!$H$66:$H1000),""(^|[^A-Za-z0-9])""&amp;$D7&amp;""([^A-Za-z0-9]|$)""))),$A7=""비교과"",SUM(ARRAYFORMULA(--REGEXMATCH(TO_TEXT('설문지 응답 시트1'!$I$66:$J1000),""(^|[^A-Za-z0-9])""&amp;$D7&amp;""([^"&amp;"A-Za-z0-9]|$)""))),$A7=""진로"",SUM(ARRAYFORMULA(--REGEXMATCH(TO_TEXT('설문지 응답 시트1'!$K$66:$K1000),""(^|[^A-Za-z0-9])""&amp;$D7&amp;""([^A-Za-z0-9]|$)""))),TRUE,"""")))"),0)</x:f>
        <x:v>0</x:v>
      </x:c>
      <x:c r="H7" s="9" t="str">
        <x:f t="shared" si="0"/>
        <x:v>신청 가능</x:v>
      </x:c>
    </x:row>
    <x:row r="8" spans="1:8" ht="13.19999999999999928946">
      <x:c r="A8" s="8" t="s">
        <x:v>259</x:v>
      </x:c>
      <x:c r="B8" s="8" t="s">
        <x:v>34</x:v>
      </x:c>
      <x:c r="C8" s="11" t="s">
        <x:v>141</x:v>
      </x:c>
      <x:c r="D8" s="8" t="s">
        <x:v>245</x:v>
      </x:c>
      <x:c r="E8" s="8" t="s">
        <x:v>194</x:v>
      </x:c>
      <x:c r="F8" s="8">
        <x:v>20</x:v>
      </x:c>
      <x:c r="G8" s="9">
        <x:f>IFERROR(__xludf.DUMMYFUNCTION("IF($I8=TRUE,"""",IF($D8="""","""",IFS($A8=""월"",SUM(ARRAYFORMULA(--REGEXMATCH(TO_TEXT('설문지 응답 시트1'!$D$66:$D1000),""(^|[^A-Za-z0-9])""&amp;$D8&amp;""([^A-Za-z0-9]|$)""))),$A8=""화"",SUM(ARRAYFORMULA(--REGEXMATCH(TO_TEXT('설문지 응답 시트1'!$E$66:$E1000),""(^|[^A-Za-z0-9])"&amp;"""&amp;$D8&amp;""([^A-Za-z0-9]|$)""))),$A8=""금"",SUM(ARRAYFORMULA(--REGEXMATCH(TO_TEXT('설문지 응답 시트1'!$F$66:$F1000),""(^|[^A-Za-z0-9])""&amp;$D8&amp;""([^A-Za-z0-9]|$)""))),$A8=""토"",SUM(ARRAYFORMULA(--REGEXMATCH(TO_TEXT('설문지 응답 시트1'!$G$66:$G1000),""(^|[^A-Za-z0-9])""&amp;$D8&amp;"&amp;"""([^A-Za-z0-9]|$)""))),$A8=""일"",SUM(ARRAYFORMULA(--REGEXMATCH(TO_TEXT('설문지 응답 시트1'!$H$66:$H1000),""(^|[^A-Za-z0-9])""&amp;$D8&amp;""([^A-Za-z0-9]|$)""))),$A8=""비교과"",SUM(ARRAYFORMULA(--REGEXMATCH(TO_TEXT('설문지 응답 시트1'!$I$66:$J1000),""(^|[^A-Za-z0-9])""&amp;$D8&amp;""([^"&amp;"A-Za-z0-9]|$)""))),$A8=""진로"",SUM(ARRAYFORMULA(--REGEXMATCH(TO_TEXT('설문지 응답 시트1'!$K$66:$K1000),""(^|[^A-Za-z0-9])""&amp;$D8&amp;""([^A-Za-z0-9]|$)""))),TRUE,"""")))"),0)</x:f>
        <x:v>0</x:v>
      </x:c>
      <x:c r="H8" s="9" t="str">
        <x:f t="shared" si="0"/>
        <x:v>신청 가능</x:v>
      </x:c>
    </x:row>
    <x:row r="9" spans="1:8" ht="13.19999999999999928946">
      <x:c r="A9" s="8" t="s">
        <x:v>259</x:v>
      </x:c>
      <x:c r="B9" s="8" t="s">
        <x:v>34</x:v>
      </x:c>
      <x:c r="C9" s="11" t="s">
        <x:v>141</x:v>
      </x:c>
      <x:c r="D9" s="8" t="s">
        <x:v>243</x:v>
      </x:c>
      <x:c r="E9" s="8" t="s">
        <x:v>192</x:v>
      </x:c>
      <x:c r="F9" s="8">
        <x:v>20</x:v>
      </x:c>
      <x:c r="G9" s="9">
        <x:f>IFERROR(__xludf.DUMMYFUNCTION("IF($I9=TRUE,"""",IF($D9="""","""",IFS($A9=""월"",SUM(ARRAYFORMULA(--REGEXMATCH(TO_TEXT('설문지 응답 시트1'!$D$66:$D1000),""(^|[^A-Za-z0-9])""&amp;$D9&amp;""([^A-Za-z0-9]|$)""))),$A9=""화"",SUM(ARRAYFORMULA(--REGEXMATCH(TO_TEXT('설문지 응답 시트1'!$E$66:$E1000),""(^|[^A-Za-z0-9])"&amp;"""&amp;$D9&amp;""([^A-Za-z0-9]|$)""))),$A9=""금"",SUM(ARRAYFORMULA(--REGEXMATCH(TO_TEXT('설문지 응답 시트1'!$F$66:$F1000),""(^|[^A-Za-z0-9])""&amp;$D9&amp;""([^A-Za-z0-9]|$)""))),$A9=""토"",SUM(ARRAYFORMULA(--REGEXMATCH(TO_TEXT('설문지 응답 시트1'!$G$66:$G1000),""(^|[^A-Za-z0-9])""&amp;$D9&amp;"&amp;"""([^A-Za-z0-9]|$)""))),$A9=""일"",SUM(ARRAYFORMULA(--REGEXMATCH(TO_TEXT('설문지 응답 시트1'!$H$66:$H1000),""(^|[^A-Za-z0-9])""&amp;$D9&amp;""([^A-Za-z0-9]|$)""))),$A9=""비교과"",SUM(ARRAYFORMULA(--REGEXMATCH(TO_TEXT('설문지 응답 시트1'!$I$66:$J1000),""(^|[^A-Za-z0-9])""&amp;$D9&amp;""([^"&amp;"A-Za-z0-9]|$)""))),$A9=""진로"",SUM(ARRAYFORMULA(--REGEXMATCH(TO_TEXT('설문지 응답 시트1'!$K$66:$K1000),""(^|[^A-Za-z0-9])""&amp;$D9&amp;""([^A-Za-z0-9]|$)""))),TRUE,"""")))"),0)</x:f>
        <x:v>0</x:v>
      </x:c>
      <x:c r="H9" s="9" t="str">
        <x:f t="shared" si="0"/>
        <x:v>신청 가능</x:v>
      </x:c>
    </x:row>
    <x:row r="10" spans="1:8" ht="13.19999999999999928946">
      <x:c r="A10" s="8" t="s">
        <x:v>259</x:v>
      </x:c>
      <x:c r="B10" s="8" t="s">
        <x:v>34</x:v>
      </x:c>
      <x:c r="C10" s="11" t="s">
        <x:v>141</x:v>
      </x:c>
      <x:c r="D10" s="8" t="s">
        <x:v>246</x:v>
      </x:c>
      <x:c r="E10" s="8" t="s">
        <x:v>135</x:v>
      </x:c>
      <x:c r="F10" s="8">
        <x:v>20</x:v>
      </x:c>
      <x:c r="G10" s="9">
        <x:f>IFERROR(__xludf.DUMMYFUNCTION("IF($I10=TRUE,"""",IF($D10="""","""",IFS($A10=""월"",SUM(ARRAYFORMULA(--REGEXMATCH(TO_TEXT('설문지 응답 시트1'!$D$66:$D1000),""(^|[^A-Za-z0-9])""&amp;$D10&amp;""([^A-Za-z0-9]|$)""))),$A10=""화"",SUM(ARRAYFORMULA(--REGEXMATCH(TO_TEXT('설문지 응답 시트1'!$E$66:$E1000),""(^|[^A-Za-z"&amp;"0-9])""&amp;$D10&amp;""([^A-Za-z0-9]|$)""))),$A10=""금"",SUM(ARRAYFORMULA(--REGEXMATCH(TO_TEXT('설문지 응답 시트1'!$F$66:$F1000),""(^|[^A-Za-z0-9])""&amp;$D10&amp;""([^A-Za-z0-9]|$)""))),$A10=""토"",SUM(ARRAYFORMULA(--REGEXMATCH(TO_TEXT('설문지 응답 시트1'!$G$66:$G1000),""(^|[^A-Za-z0-9"&amp;"])""&amp;$D10&amp;""([^A-Za-z0-9]|$)""))),$A10=""일"",SUM(ARRAYFORMULA(--REGEXMATCH(TO_TEXT('설문지 응답 시트1'!$H$66:$H1000),""(^|[^A-Za-z0-9])""&amp;$D10&amp;""([^A-Za-z0-9]|$)""))),$A10=""비교과"",SUM(ARRAYFORMULA(--REGEXMATCH(TO_TEXT('설문지 응답 시트1'!$I$66:$J1000),""(^|[^A-Za-z0-9]"&amp;")""&amp;$D10&amp;""([^A-Za-z0-9]|$)""))),$A10=""진로"",SUM(ARRAYFORMULA(--REGEXMATCH(TO_TEXT('설문지 응답 시트1'!$K$66:$K1000),""(^|[^A-Za-z0-9])""&amp;$D10&amp;""([^A-Za-z0-9]|$)""))),TRUE,"""")))"),0)</x:f>
        <x:v>0</x:v>
      </x:c>
      <x:c r="H10" s="9" t="str">
        <x:f t="shared" si="0"/>
        <x:v>신청 가능</x:v>
      </x:c>
    </x:row>
    <x:row r="11" spans="1:9" ht="13.19999999999999928946">
      <x:c r="A11" s="8" t="s">
        <x:v>259</x:v>
      </x:c>
      <x:c r="B11" s="8" t="s">
        <x:v>34</x:v>
      </x:c>
      <x:c r="C11" s="11" t="s">
        <x:v>141</x:v>
      </x:c>
      <x:c r="E11" s="8" t="s">
        <x:v>21</x:v>
      </x:c>
      <x:c r="G11" s="9" t="str">
        <x:f>IFERROR(__xludf.DUMMYFUNCTION("IF($I11=TRUE,"""",IF($D11="""","""",IFS($A11=""월"",SUM(ARRAYFORMULA(--REGEXMATCH(TO_TEXT('설문지 응답 시트1'!$D$66:$D1000),""(^|[^A-Za-z0-9])""&amp;$D11&amp;""([^A-Za-z0-9]|$)""))),$A11=""화"",SUM(ARRAYFORMULA(--REGEXMATCH(TO_TEXT('설문지 응답 시트1'!$E$66:$E1000),""(^|[^A-Za-z"&amp;"0-9])""&amp;$D11&amp;""([^A-Za-z0-9]|$)""))),$A11=""금"",SUM(ARRAYFORMULA(--REGEXMATCH(TO_TEXT('설문지 응답 시트1'!$F$66:$F1000),""(^|[^A-Za-z0-9])""&amp;$D11&amp;""([^A-Za-z0-9]|$)""))),$A11=""토"",SUM(ARRAYFORMULA(--REGEXMATCH(TO_TEXT('설문지 응답 시트1'!$G$66:$G1000),""(^|[^A-Za-z0-9"&amp;"])""&amp;$D11&amp;""([^A-Za-z0-9]|$)""))),$A11=""일"",SUM(ARRAYFORMULA(--REGEXMATCH(TO_TEXT('설문지 응답 시트1'!$H$66:$H1000),""(^|[^A-Za-z0-9])""&amp;$D11&amp;""([^A-Za-z0-9]|$)""))),$A11=""비교과"",SUM(ARRAYFORMULA(--REGEXMATCH(TO_TEXT('설문지 응답 시트1'!$I$66:$J1000),""(^|[^A-Za-z0-9]"&amp;")""&amp;$D11&amp;""([^A-Za-z0-9]|$)""))),$A11=""진로"",SUM(ARRAYFORMULA(--REGEXMATCH(TO_TEXT('설문지 응답 시트1'!$K$66:$K1000),""(^|[^A-Za-z0-9])""&amp;$D11&amp;""([^A-Za-z0-9]|$)""))),TRUE,"""")))"),"")</x:f>
        <x:v/>
      </x:c>
      <x:c r="H11" s="9" t="str">
        <x:f t="shared" si="0"/>
        <x:v>항상 표시</x:v>
      </x:c>
      <x:c r="I11" s="8" t="b">
        <x:v>1</x:v>
      </x:c>
    </x:row>
    <x:row r="12" spans="1:8" ht="13.19999999999999928946">
      <x:c r="A12" s="8" t="s">
        <x:v>260</x:v>
      </x:c>
      <x:c r="B12" s="8" t="s">
        <x:v>35</x:v>
      </x:c>
      <x:c r="C12" s="11" t="s">
        <x:v>142</x:v>
      </x:c>
      <x:c r="D12" s="8" t="s">
        <x:v>250</x:v>
      </x:c>
      <x:c r="E12" s="8" t="s">
        <x:v>137</x:v>
      </x:c>
      <x:c r="F12" s="8">
        <x:v>20</x:v>
      </x:c>
      <x:c r="G12" s="9">
        <x:f>IFERROR(__xludf.DUMMYFUNCTION("IF($I12=TRUE,"""",IF($D12="""","""",IFS($A12=""월"",SUM(ARRAYFORMULA(--REGEXMATCH(TO_TEXT('설문지 응답 시트1'!$D$66:$D1000),""(^|[^A-Za-z0-9])""&amp;$D12&amp;""([^A-Za-z0-9]|$)""))),$A12=""화"",SUM(ARRAYFORMULA(--REGEXMATCH(TO_TEXT('설문지 응답 시트1'!$E$66:$E1000),""(^|[^A-Za-z"&amp;"0-9])""&amp;$D12&amp;""([^A-Za-z0-9]|$)""))),$A12=""금"",SUM(ARRAYFORMULA(--REGEXMATCH(TO_TEXT('설문지 응답 시트1'!$F$66:$F1000),""(^|[^A-Za-z0-9])""&amp;$D12&amp;""([^A-Za-z0-9]|$)""))),$A12=""토"",SUM(ARRAYFORMULA(--REGEXMATCH(TO_TEXT('설문지 응답 시트1'!$G$66:$G1000),""(^|[^A-Za-z0-9"&amp;"])""&amp;$D12&amp;""([^A-Za-z0-9]|$)""))),$A12=""일"",SUM(ARRAYFORMULA(--REGEXMATCH(TO_TEXT('설문지 응답 시트1'!$H$66:$H1000),""(^|[^A-Za-z0-9])""&amp;$D12&amp;""([^A-Za-z0-9]|$)""))),$A12=""비교과"",SUM(ARRAYFORMULA(--REGEXMATCH(TO_TEXT('설문지 응답 시트1'!$I$66:$J1000),""(^|[^A-Za-z0-9]"&amp;")""&amp;$D12&amp;""([^A-Za-z0-9]|$)""))),$A12=""진로"",SUM(ARRAYFORMULA(--REGEXMATCH(TO_TEXT('설문지 응답 시트1'!$K$66:$K1000),""(^|[^A-Za-z0-9])""&amp;$D12&amp;""([^A-Za-z0-9]|$)""))),TRUE,"""")))"),0)</x:f>
        <x:v>0</x:v>
      </x:c>
      <x:c r="H12" s="9" t="str">
        <x:f t="shared" si="0"/>
        <x:v>신청 가능</x:v>
      </x:c>
    </x:row>
    <x:row r="13" spans="1:8" ht="13.19999999999999928946">
      <x:c r="A13" s="8" t="s">
        <x:v>260</x:v>
      </x:c>
      <x:c r="B13" s="8" t="s">
        <x:v>35</x:v>
      </x:c>
      <x:c r="C13" s="11" t="s">
        <x:v>142</x:v>
      </x:c>
      <x:c r="D13" s="8" t="s">
        <x:v>249</x:v>
      </x:c>
      <x:c r="E13" s="8" t="s">
        <x:v>195</x:v>
      </x:c>
      <x:c r="F13" s="8">
        <x:v>20</x:v>
      </x:c>
      <x:c r="G13" s="9">
        <x:f>IFERROR(__xludf.DUMMYFUNCTION("IF($I13=TRUE,"""",IF($D13="""","""",IFS($A13=""월"",SUM(ARRAYFORMULA(--REGEXMATCH(TO_TEXT('설문지 응답 시트1'!$D$66:$D1000),""(^|[^A-Za-z0-9])""&amp;$D13&amp;""([^A-Za-z0-9]|$)""))),$A13=""화"",SUM(ARRAYFORMULA(--REGEXMATCH(TO_TEXT('설문지 응답 시트1'!$E$66:$E1000),""(^|[^A-Za-z"&amp;"0-9])""&amp;$D13&amp;""([^A-Za-z0-9]|$)""))),$A13=""금"",SUM(ARRAYFORMULA(--REGEXMATCH(TO_TEXT('설문지 응답 시트1'!$F$66:$F1000),""(^|[^A-Za-z0-9])""&amp;$D13&amp;""([^A-Za-z0-9]|$)""))),$A13=""토"",SUM(ARRAYFORMULA(--REGEXMATCH(TO_TEXT('설문지 응답 시트1'!$G$66:$G1000),""(^|[^A-Za-z0-9"&amp;"])""&amp;$D13&amp;""([^A-Za-z0-9]|$)""))),$A13=""일"",SUM(ARRAYFORMULA(--REGEXMATCH(TO_TEXT('설문지 응답 시트1'!$H$66:$H1000),""(^|[^A-Za-z0-9])""&amp;$D13&amp;""([^A-Za-z0-9]|$)""))),$A13=""비교과"",SUM(ARRAYFORMULA(--REGEXMATCH(TO_TEXT('설문지 응답 시트1'!$I$66:$J1000),""(^|[^A-Za-z0-9]"&amp;")""&amp;$D13&amp;""([^A-Za-z0-9]|$)""))),$A13=""진로"",SUM(ARRAYFORMULA(--REGEXMATCH(TO_TEXT('설문지 응답 시트1'!$K$66:$K1000),""(^|[^A-Za-z0-9])""&amp;$D13&amp;""([^A-Za-z0-9]|$)""))),TRUE,"""")))"),0)</x:f>
        <x:v>0</x:v>
      </x:c>
      <x:c r="H13" s="9" t="str">
        <x:f t="shared" si="0"/>
        <x:v>신청 가능</x:v>
      </x:c>
    </x:row>
    <x:row r="14" spans="1:8" ht="13.19999999999999928946">
      <x:c r="A14" s="8" t="s">
        <x:v>260</x:v>
      </x:c>
      <x:c r="B14" s="8" t="s">
        <x:v>35</x:v>
      </x:c>
      <x:c r="C14" s="11" t="s">
        <x:v>142</x:v>
      </x:c>
      <x:c r="D14" s="8" t="s">
        <x:v>252</x:v>
      </x:c>
      <x:c r="E14" s="8" t="s">
        <x:v>193</x:v>
      </x:c>
      <x:c r="F14" s="8">
        <x:v>20</x:v>
      </x:c>
      <x:c r="G14" s="9">
        <x:f>IFERROR(__xludf.DUMMYFUNCTION("IF($I14=TRUE,"""",IF($D14="""","""",IFS($A14=""월"",SUM(ARRAYFORMULA(--REGEXMATCH(TO_TEXT('설문지 응답 시트1'!$D$66:$D1000),""(^|[^A-Za-z0-9])""&amp;$D14&amp;""([^A-Za-z0-9]|$)""))),$A14=""화"",SUM(ARRAYFORMULA(--REGEXMATCH(TO_TEXT('설문지 응답 시트1'!$E$66:$E1000),""(^|[^A-Za-z"&amp;"0-9])""&amp;$D14&amp;""([^A-Za-z0-9]|$)""))),$A14=""금"",SUM(ARRAYFORMULA(--REGEXMATCH(TO_TEXT('설문지 응답 시트1'!$F$66:$F1000),""(^|[^A-Za-z0-9])""&amp;$D14&amp;""([^A-Za-z0-9]|$)""))),$A14=""토"",SUM(ARRAYFORMULA(--REGEXMATCH(TO_TEXT('설문지 응답 시트1'!$G$66:$G1000),""(^|[^A-Za-z0-9"&amp;"])""&amp;$D14&amp;""([^A-Za-z0-9]|$)""))),$A14=""일"",SUM(ARRAYFORMULA(--REGEXMATCH(TO_TEXT('설문지 응답 시트1'!$H$66:$H1000),""(^|[^A-Za-z0-9])""&amp;$D14&amp;""([^A-Za-z0-9]|$)""))),$A14=""비교과"",SUM(ARRAYFORMULA(--REGEXMATCH(TO_TEXT('설문지 응답 시트1'!$I$66:$J1000),""(^|[^A-Za-z0-9]"&amp;")""&amp;$D14&amp;""([^A-Za-z0-9]|$)""))),$A14=""진로"",SUM(ARRAYFORMULA(--REGEXMATCH(TO_TEXT('설문지 응답 시트1'!$K$66:$K1000),""(^|[^A-Za-z0-9])""&amp;$D14&amp;""([^A-Za-z0-9]|$)""))),TRUE,"""")))"),0)</x:f>
        <x:v>0</x:v>
      </x:c>
      <x:c r="H14" s="9" t="str">
        <x:f t="shared" si="0"/>
        <x:v>신청 가능</x:v>
      </x:c>
    </x:row>
    <x:row r="15" spans="1:8" ht="13.19999999999999928946">
      <x:c r="A15" s="8" t="s">
        <x:v>260</x:v>
      </x:c>
      <x:c r="B15" s="8" t="s">
        <x:v>35</x:v>
      </x:c>
      <x:c r="C15" s="11" t="s">
        <x:v>142</x:v>
      </x:c>
      <x:c r="D15" s="8" t="s">
        <x:v>251</x:v>
      </x:c>
      <x:c r="E15" s="8" t="s">
        <x:v>131</x:v>
      </x:c>
      <x:c r="F15" s="8">
        <x:v>20</x:v>
      </x:c>
      <x:c r="G15" s="9">
        <x:f>IFERROR(__xludf.DUMMYFUNCTION("IF($I15=TRUE,"""",IF($D15="""","""",IFS($A15=""월"",SUM(ARRAYFORMULA(--REGEXMATCH(TO_TEXT('설문지 응답 시트1'!$D$66:$D1000),""(^|[^A-Za-z0-9])""&amp;$D15&amp;""([^A-Za-z0-9]|$)""))),$A15=""화"",SUM(ARRAYFORMULA(--REGEXMATCH(TO_TEXT('설문지 응답 시트1'!$E$66:$E1000),""(^|[^A-Za-z"&amp;"0-9])""&amp;$D15&amp;""([^A-Za-z0-9]|$)""))),$A15=""금"",SUM(ARRAYFORMULA(--REGEXMATCH(TO_TEXT('설문지 응답 시트1'!$F$66:$F1000),""(^|[^A-Za-z0-9])""&amp;$D15&amp;""([^A-Za-z0-9]|$)""))),$A15=""토"",SUM(ARRAYFORMULA(--REGEXMATCH(TO_TEXT('설문지 응답 시트1'!$G$66:$G1000),""(^|[^A-Za-z0-9"&amp;"])""&amp;$D15&amp;""([^A-Za-z0-9]|$)""))),$A15=""일"",SUM(ARRAYFORMULA(--REGEXMATCH(TO_TEXT('설문지 응답 시트1'!$H$66:$H1000),""(^|[^A-Za-z0-9])""&amp;$D15&amp;""([^A-Za-z0-9]|$)""))),$A15=""비교과"",SUM(ARRAYFORMULA(--REGEXMATCH(TO_TEXT('설문지 응답 시트1'!$I$66:$J1000),""(^|[^A-Za-z0-9]"&amp;")""&amp;$D15&amp;""([^A-Za-z0-9]|$)""))),$A15=""진로"",SUM(ARRAYFORMULA(--REGEXMATCH(TO_TEXT('설문지 응답 시트1'!$K$66:$K1000),""(^|[^A-Za-z0-9])""&amp;$D15&amp;""([^A-Za-z0-9]|$)""))),TRUE,"""")))"),0)</x:f>
        <x:v>0</x:v>
      </x:c>
      <x:c r="H15" s="9" t="str">
        <x:f t="shared" si="0"/>
        <x:v>신청 가능</x:v>
      </x:c>
    </x:row>
    <x:row r="16" spans="1:9" ht="13.19999999999999928946">
      <x:c r="A16" s="8" t="s">
        <x:v>260</x:v>
      </x:c>
      <x:c r="B16" s="8" t="s">
        <x:v>35</x:v>
      </x:c>
      <x:c r="C16" s="11" t="s">
        <x:v>142</x:v>
      </x:c>
      <x:c r="E16" s="8" t="s">
        <x:v>21</x:v>
      </x:c>
      <x:c r="G16" s="9" t="str">
        <x:f>IFERROR(__xludf.DUMMYFUNCTION("IF($I16=TRUE,"""",IF($D16="""","""",IFS($A16=""월"",SUM(ARRAYFORMULA(--REGEXMATCH(TO_TEXT('설문지 응답 시트1'!$D$66:$D1000),""(^|[^A-Za-z0-9])""&amp;$D16&amp;""([^A-Za-z0-9]|$)""))),$A16=""화"",SUM(ARRAYFORMULA(--REGEXMATCH(TO_TEXT('설문지 응답 시트1'!$E$66:$E1000),""(^|[^A-Za-z"&amp;"0-9])""&amp;$D16&amp;""([^A-Za-z0-9]|$)""))),$A16=""금"",SUM(ARRAYFORMULA(--REGEXMATCH(TO_TEXT('설문지 응답 시트1'!$F$66:$F1000),""(^|[^A-Za-z0-9])""&amp;$D16&amp;""([^A-Za-z0-9]|$)""))),$A16=""토"",SUM(ARRAYFORMULA(--REGEXMATCH(TO_TEXT('설문지 응답 시트1'!$G$66:$G1000),""(^|[^A-Za-z0-9"&amp;"])""&amp;$D16&amp;""([^A-Za-z0-9]|$)""))),$A16=""일"",SUM(ARRAYFORMULA(--REGEXMATCH(TO_TEXT('설문지 응답 시트1'!$H$66:$H1000),""(^|[^A-Za-z0-9])""&amp;$D16&amp;""([^A-Za-z0-9]|$)""))),$A16=""비교과"",SUM(ARRAYFORMULA(--REGEXMATCH(TO_TEXT('설문지 응답 시트1'!$I$66:$J1000),""(^|[^A-Za-z0-9]"&amp;")""&amp;$D16&amp;""([^A-Za-z0-9]|$)""))),$A16=""진로"",SUM(ARRAYFORMULA(--REGEXMATCH(TO_TEXT('설문지 응답 시트1'!$K$66:$K1000),""(^|[^A-Za-z0-9])""&amp;$D16&amp;""([^A-Za-z0-9]|$)""))),TRUE,"""")))"),"")</x:f>
        <x:v/>
      </x:c>
      <x:c r="H16" s="9" t="str">
        <x:f t="shared" si="0"/>
        <x:v>항상 표시</x:v>
      </x:c>
      <x:c r="I16" s="8" t="b">
        <x:v>1</x:v>
      </x:c>
    </x:row>
    <x:row r="17" spans="1:8" ht="13.19999999999999928946">
      <x:c r="A17" s="8" t="s">
        <x:v>63</x:v>
      </x:c>
      <x:c r="B17" s="8" t="s">
        <x:v>29</x:v>
      </x:c>
      <x:c r="C17" s="11" t="s">
        <x:v>143</x:v>
      </x:c>
      <x:c r="D17" s="8" t="s">
        <x:v>56</x:v>
      </x:c>
      <x:c r="E17" s="8" t="s">
        <x:v>210</x:v>
      </x:c>
      <x:c r="F17" s="8">
        <x:v>20</x:v>
      </x:c>
      <x:c r="G17" s="9">
        <x:f>IFERROR(__xludf.DUMMYFUNCTION("IF($I17=TRUE,"""",IF($D17="""","""",IFS($A17=""월"",SUM(ARRAYFORMULA(--REGEXMATCH(TO_TEXT('설문지 응답 시트1'!$D$66:$D1000),""(^|[^A-Za-z0-9])""&amp;$D17&amp;""([^A-Za-z0-9]|$)""))),$A17=""화"",SUM(ARRAYFORMULA(--REGEXMATCH(TO_TEXT('설문지 응답 시트1'!$E$66:$E1000),""(^|[^A-Za-z"&amp;"0-9])""&amp;$D17&amp;""([^A-Za-z0-9]|$)""))),$A17=""금"",SUM(ARRAYFORMULA(--REGEXMATCH(TO_TEXT('설문지 응답 시트1'!$F$66:$F1000),""(^|[^A-Za-z0-9])""&amp;$D17&amp;""([^A-Za-z0-9]|$)""))),$A17=""토"",SUM(ARRAYFORMULA(--REGEXMATCH(TO_TEXT('설문지 응답 시트1'!$G$66:$G1000),""(^|[^A-Za-z0-9"&amp;"])""&amp;$D17&amp;""([^A-Za-z0-9]|$)""))),$A17=""일"",SUM(ARRAYFORMULA(--REGEXMATCH(TO_TEXT('설문지 응답 시트1'!$H$66:$H1000),""(^|[^A-Za-z0-9])""&amp;$D17&amp;""([^A-Za-z0-9]|$)""))),$A17=""비교과"",SUM(ARRAYFORMULA(--REGEXMATCH(TO_TEXT('설문지 응답 시트1'!$I$66:$J1000),""(^|[^A-Za-z0-9]"&amp;")""&amp;$D17&amp;""([^A-Za-z0-9]|$)""))),$A17=""진로"",SUM(ARRAYFORMULA(--REGEXMATCH(TO_TEXT('설문지 응답 시트1'!$K$66:$K1000),""(^|[^A-Za-z0-9])""&amp;$D17&amp;""([^A-Za-z0-9]|$)""))),TRUE,"""")))"),0)</x:f>
        <x:v>0</x:v>
      </x:c>
      <x:c r="H17" s="9" t="str">
        <x:f t="shared" si="0"/>
        <x:v>신청 가능</x:v>
      </x:c>
    </x:row>
    <x:row r="18" spans="1:8" ht="13.19999999999999928946">
      <x:c r="A18" s="8" t="s">
        <x:v>63</x:v>
      </x:c>
      <x:c r="B18" s="8" t="s">
        <x:v>29</x:v>
      </x:c>
      <x:c r="C18" s="11" t="s">
        <x:v>143</x:v>
      </x:c>
      <x:c r="D18" s="8" t="s">
        <x:v>55</x:v>
      </x:c>
      <x:c r="E18" s="8" t="s">
        <x:v>231</x:v>
      </x:c>
      <x:c r="F18" s="8">
        <x:v>20</x:v>
      </x:c>
      <x:c r="G18" s="9">
        <x:f>IFERROR(__xludf.DUMMYFUNCTION("IF($I18=TRUE,"""",IF($D18="""","""",IFS($A18=""월"",SUM(ARRAYFORMULA(--REGEXMATCH(TO_TEXT('설문지 응답 시트1'!$D$66:$D1000),""(^|[^A-Za-z0-9])""&amp;$D18&amp;""([^A-Za-z0-9]|$)""))),$A18=""화"",SUM(ARRAYFORMULA(--REGEXMATCH(TO_TEXT('설문지 응답 시트1'!$E$66:$E1000),""(^|[^A-Za-z"&amp;"0-9])""&amp;$D18&amp;""([^A-Za-z0-9]|$)""))),$A18=""금"",SUM(ARRAYFORMULA(--REGEXMATCH(TO_TEXT('설문지 응답 시트1'!$F$66:$F1000),""(^|[^A-Za-z0-9])""&amp;$D18&amp;""([^A-Za-z0-9]|$)""))),$A18=""토"",SUM(ARRAYFORMULA(--REGEXMATCH(TO_TEXT('설문지 응답 시트1'!$G$66:$G1000),""(^|[^A-Za-z0-9"&amp;"])""&amp;$D18&amp;""([^A-Za-z0-9]|$)""))),$A18=""일"",SUM(ARRAYFORMULA(--REGEXMATCH(TO_TEXT('설문지 응답 시트1'!$H$66:$H1000),""(^|[^A-Za-z0-9])""&amp;$D18&amp;""([^A-Za-z0-9]|$)""))),$A18=""비교과"",SUM(ARRAYFORMULA(--REGEXMATCH(TO_TEXT('설문지 응답 시트1'!$I$66:$J1000),""(^|[^A-Za-z0-9]"&amp;")""&amp;$D18&amp;""([^A-Za-z0-9]|$)""))),$A18=""진로"",SUM(ARRAYFORMULA(--REGEXMATCH(TO_TEXT('설문지 응답 시트1'!$K$66:$K1000),""(^|[^A-Za-z0-9])""&amp;$D18&amp;""([^A-Za-z0-9]|$)""))),TRUE,"""")))"),0)</x:f>
        <x:v>0</x:v>
      </x:c>
      <x:c r="H18" s="9" t="str">
        <x:f t="shared" si="0"/>
        <x:v>신청 가능</x:v>
      </x:c>
    </x:row>
    <x:row r="19" spans="1:8" ht="13.19999999999999928946">
      <x:c r="A19" s="8" t="s">
        <x:v>63</x:v>
      </x:c>
      <x:c r="B19" s="8" t="s">
        <x:v>29</x:v>
      </x:c>
      <x:c r="C19" s="11" t="s">
        <x:v>143</x:v>
      </x:c>
      <x:c r="D19" s="8" t="s">
        <x:v>59</x:v>
      </x:c>
      <x:c r="E19" s="8" t="s">
        <x:v>225</x:v>
      </x:c>
      <x:c r="F19" s="8">
        <x:v>20</x:v>
      </x:c>
      <x:c r="G19" s="9">
        <x:f>IFERROR(__xludf.DUMMYFUNCTION("IF($I19=TRUE,"""",IF($D19="""","""",IFS($A19=""월"",SUM(ARRAYFORMULA(--REGEXMATCH(TO_TEXT('설문지 응답 시트1'!$D$66:$D1000),""(^|[^A-Za-z0-9])""&amp;$D19&amp;""([^A-Za-z0-9]|$)""))),$A19=""화"",SUM(ARRAYFORMULA(--REGEXMATCH(TO_TEXT('설문지 응답 시트1'!$E$66:$E1000),""(^|[^A-Za-z"&amp;"0-9])""&amp;$D19&amp;""([^A-Za-z0-9]|$)""))),$A19=""금"",SUM(ARRAYFORMULA(--REGEXMATCH(TO_TEXT('설문지 응답 시트1'!$F$66:$F1000),""(^|[^A-Za-z0-9])""&amp;$D19&amp;""([^A-Za-z0-9]|$)""))),$A19=""토"",SUM(ARRAYFORMULA(--REGEXMATCH(TO_TEXT('설문지 응답 시트1'!$G$66:$G1000),""(^|[^A-Za-z0-9"&amp;"])""&amp;$D19&amp;""([^A-Za-z0-9]|$)""))),$A19=""일"",SUM(ARRAYFORMULA(--REGEXMATCH(TO_TEXT('설문지 응답 시트1'!$H$66:$H1000),""(^|[^A-Za-z0-9])""&amp;$D19&amp;""([^A-Za-z0-9]|$)""))),$A19=""비교과"",SUM(ARRAYFORMULA(--REGEXMATCH(TO_TEXT('설문지 응답 시트1'!$I$66:$J1000),""(^|[^A-Za-z0-9]"&amp;")""&amp;$D19&amp;""([^A-Za-z0-9]|$)""))),$A19=""진로"",SUM(ARRAYFORMULA(--REGEXMATCH(TO_TEXT('설문지 응답 시트1'!$K$66:$K1000),""(^|[^A-Za-z0-9])""&amp;$D19&amp;""([^A-Za-z0-9]|$)""))),TRUE,"""")))"),0)</x:f>
        <x:v>0</x:v>
      </x:c>
      <x:c r="H19" s="9" t="str">
        <x:f t="shared" si="0"/>
        <x:v>신청 가능</x:v>
      </x:c>
    </x:row>
    <x:row r="20" spans="1:8" ht="13.19999999999999928946">
      <x:c r="A20" s="8" t="s">
        <x:v>63</x:v>
      </x:c>
      <x:c r="B20" s="8" t="s">
        <x:v>29</x:v>
      </x:c>
      <x:c r="C20" s="11" t="s">
        <x:v>143</x:v>
      </x:c>
      <x:c r="D20" s="8" t="s">
        <x:v>60</x:v>
      </x:c>
      <x:c r="E20" s="8" t="s">
        <x:v>227</x:v>
      </x:c>
      <x:c r="F20" s="8">
        <x:v>20</x:v>
      </x:c>
      <x:c r="G20" s="9">
        <x:f>IFERROR(__xludf.DUMMYFUNCTION("IF($I20=TRUE,"""",IF($D20="""","""",IFS($A20=""월"",SUM(ARRAYFORMULA(--REGEXMATCH(TO_TEXT('설문지 응답 시트1'!$D$66:$D1000),""(^|[^A-Za-z0-9])""&amp;$D20&amp;""([^A-Za-z0-9]|$)""))),$A20=""화"",SUM(ARRAYFORMULA(--REGEXMATCH(TO_TEXT('설문지 응답 시트1'!$E$66:$E1000),""(^|[^A-Za-z"&amp;"0-9])""&amp;$D20&amp;""([^A-Za-z0-9]|$)""))),$A20=""금"",SUM(ARRAYFORMULA(--REGEXMATCH(TO_TEXT('설문지 응답 시트1'!$F$66:$F1000),""(^|[^A-Za-z0-9])""&amp;$D20&amp;""([^A-Za-z0-9]|$)""))),$A20=""토"",SUM(ARRAYFORMULA(--REGEXMATCH(TO_TEXT('설문지 응답 시트1'!$G$66:$G1000),""(^|[^A-Za-z0-9"&amp;"])""&amp;$D20&amp;""([^A-Za-z0-9]|$)""))),$A20=""일"",SUM(ARRAYFORMULA(--REGEXMATCH(TO_TEXT('설문지 응답 시트1'!$H$66:$H1000),""(^|[^A-Za-z0-9])""&amp;$D20&amp;""([^A-Za-z0-9]|$)""))),$A20=""비교과"",SUM(ARRAYFORMULA(--REGEXMATCH(TO_TEXT('설문지 응답 시트1'!$I$66:$J1000),""(^|[^A-Za-z0-9]"&amp;")""&amp;$D20&amp;""([^A-Za-z0-9]|$)""))),$A20=""진로"",SUM(ARRAYFORMULA(--REGEXMATCH(TO_TEXT('설문지 응답 시트1'!$K$66:$K1000),""(^|[^A-Za-z0-9])""&amp;$D20&amp;""([^A-Za-z0-9]|$)""))),TRUE,"""")))"),0)</x:f>
        <x:v>0</x:v>
      </x:c>
      <x:c r="H20" s="9" t="str">
        <x:f t="shared" si="0"/>
        <x:v>신청 가능</x:v>
      </x:c>
    </x:row>
    <x:row r="21" spans="1:8" ht="13.19999999999999928946">
      <x:c r="A21" s="8" t="s">
        <x:v>63</x:v>
      </x:c>
      <x:c r="B21" s="8" t="s">
        <x:v>29</x:v>
      </x:c>
      <x:c r="C21" s="11" t="s">
        <x:v>143</x:v>
      </x:c>
      <x:c r="D21" s="8" t="s">
        <x:v>61</x:v>
      </x:c>
      <x:c r="E21" s="8" t="s">
        <x:v>232</x:v>
      </x:c>
      <x:c r="F21" s="8">
        <x:v>20</x:v>
      </x:c>
      <x:c r="G21" s="9">
        <x:f>IFERROR(__xludf.DUMMYFUNCTION("IF($I21=TRUE,"""",IF($D21="""","""",IFS($A21=""월"",SUM(ARRAYFORMULA(--REGEXMATCH(TO_TEXT('설문지 응답 시트1'!$D$66:$D1000),""(^|[^A-Za-z0-9])""&amp;$D21&amp;""([^A-Za-z0-9]|$)""))),$A21=""화"",SUM(ARRAYFORMULA(--REGEXMATCH(TO_TEXT('설문지 응답 시트1'!$E$66:$E1000),""(^|[^A-Za-z"&amp;"0-9])""&amp;$D21&amp;""([^A-Za-z0-9]|$)""))),$A21=""금"",SUM(ARRAYFORMULA(--REGEXMATCH(TO_TEXT('설문지 응답 시트1'!$F$66:$F1000),""(^|[^A-Za-z0-9])""&amp;$D21&amp;""([^A-Za-z0-9]|$)""))),$A21=""토"",SUM(ARRAYFORMULA(--REGEXMATCH(TO_TEXT('설문지 응답 시트1'!$G$66:$G1000),""(^|[^A-Za-z0-9"&amp;"])""&amp;$D21&amp;""([^A-Za-z0-9]|$)""))),$A21=""일"",SUM(ARRAYFORMULA(--REGEXMATCH(TO_TEXT('설문지 응답 시트1'!$H$66:$H1000),""(^|[^A-Za-z0-9])""&amp;$D21&amp;""([^A-Za-z0-9]|$)""))),$A21=""비교과"",SUM(ARRAYFORMULA(--REGEXMATCH(TO_TEXT('설문지 응답 시트1'!$I$66:$J1000),""(^|[^A-Za-z0-9]"&amp;")""&amp;$D21&amp;""([^A-Za-z0-9]|$)""))),$A21=""진로"",SUM(ARRAYFORMULA(--REGEXMATCH(TO_TEXT('설문지 응답 시트1'!$K$66:$K1000),""(^|[^A-Za-z0-9])""&amp;$D21&amp;""([^A-Za-z0-9]|$)""))),TRUE,"""")))"),0)</x:f>
        <x:v>0</x:v>
      </x:c>
      <x:c r="H21" s="9" t="str">
        <x:f t="shared" si="0"/>
        <x:v>신청 가능</x:v>
      </x:c>
    </x:row>
    <x:row r="22" spans="1:9" ht="13.19999999999999928946">
      <x:c r="A22" s="8" t="s">
        <x:v>63</x:v>
      </x:c>
      <x:c r="B22" s="8" t="s">
        <x:v>29</x:v>
      </x:c>
      <x:c r="C22" s="11" t="s">
        <x:v>143</x:v>
      </x:c>
      <x:c r="E22" s="8" t="s">
        <x:v>39</x:v>
      </x:c>
      <x:c r="G22" s="9" t="str">
        <x:f>IFERROR(__xludf.DUMMYFUNCTION("IF($I22=TRUE,"""",IF($D22="""","""",IFS($A22=""월"",SUM(ARRAYFORMULA(--REGEXMATCH(TO_TEXT('설문지 응답 시트1'!$D$66:$D1000),""(^|[^A-Za-z0-9])""&amp;$D22&amp;""([^A-Za-z0-9]|$)""))),$A22=""화"",SUM(ARRAYFORMULA(--REGEXMATCH(TO_TEXT('설문지 응답 시트1'!$E$66:$E1000),""(^|[^A-Za-z"&amp;"0-9])""&amp;$D22&amp;""([^A-Za-z0-9]|$)""))),$A22=""금"",SUM(ARRAYFORMULA(--REGEXMATCH(TO_TEXT('설문지 응답 시트1'!$F$66:$F1000),""(^|[^A-Za-z0-9])""&amp;$D22&amp;""([^A-Za-z0-9]|$)""))),$A22=""토"",SUM(ARRAYFORMULA(--REGEXMATCH(TO_TEXT('설문지 응답 시트1'!$G$66:$G1000),""(^|[^A-Za-z0-9"&amp;"])""&amp;$D22&amp;""([^A-Za-z0-9]|$)""))),$A22=""일"",SUM(ARRAYFORMULA(--REGEXMATCH(TO_TEXT('설문지 응답 시트1'!$H$66:$H1000),""(^|[^A-Za-z0-9])""&amp;$D22&amp;""([^A-Za-z0-9]|$)""))),$A22=""비교과"",SUM(ARRAYFORMULA(--REGEXMATCH(TO_TEXT('설문지 응답 시트1'!$I$66:$J1000),""(^|[^A-Za-z0-9]"&amp;")""&amp;$D22&amp;""([^A-Za-z0-9]|$)""))),$A22=""진로"",SUM(ARRAYFORMULA(--REGEXMATCH(TO_TEXT('설문지 응답 시트1'!$K$66:$K1000),""(^|[^A-Za-z0-9])""&amp;$D22&amp;""([^A-Za-z0-9]|$)""))),TRUE,"""")))"),"")</x:f>
        <x:v/>
      </x:c>
      <x:c r="H22" s="9" t="str">
        <x:f t="shared" si="0"/>
        <x:v>항상 표시</x:v>
      </x:c>
      <x:c r="I22" s="8" t="b">
        <x:v>1</x:v>
      </x:c>
    </x:row>
    <x:row r="23" spans="1:8" ht="13.19999999999999928946">
      <x:c r="A23" s="8" t="s">
        <x:v>64</x:v>
      </x:c>
      <x:c r="B23" s="8" t="s">
        <x:v>43</x:v>
      </x:c>
      <x:c r="C23" s="11" t="s">
        <x:v>144</x:v>
      </x:c>
      <x:c r="D23" s="8" t="s">
        <x:v>53</x:v>
      </x:c>
      <x:c r="E23" s="8" t="s">
        <x:v>201</x:v>
      </x:c>
      <x:c r="F23" s="8">
        <x:v>20</x:v>
      </x:c>
      <x:c r="G23" s="9">
        <x:f>IFERROR(__xludf.DUMMYFUNCTION("IF($I23=TRUE,"""",IF($D23="""","""",IFS($A23=""월"",SUM(ARRAYFORMULA(--REGEXMATCH(TO_TEXT('설문지 응답 시트1'!$D$66:$D1000),""(^|[^A-Za-z0-9])""&amp;$D23&amp;""([^A-Za-z0-9]|$)""))),$A23=""화"",SUM(ARRAYFORMULA(--REGEXMATCH(TO_TEXT('설문지 응답 시트1'!$E$66:$E1000),""(^|[^A-Za-z"&amp;"0-9])""&amp;$D23&amp;""([^A-Za-z0-9]|$)""))),$A23=""금"",SUM(ARRAYFORMULA(--REGEXMATCH(TO_TEXT('설문지 응답 시트1'!$F$66:$F1000),""(^|[^A-Za-z0-9])""&amp;$D23&amp;""([^A-Za-z0-9]|$)""))),$A23=""토"",SUM(ARRAYFORMULA(--REGEXMATCH(TO_TEXT('설문지 응답 시트1'!$G$66:$G1000),""(^|[^A-Za-z0-9"&amp;"])""&amp;$D23&amp;""([^A-Za-z0-9]|$)""))),$A23=""일"",SUM(ARRAYFORMULA(--REGEXMATCH(TO_TEXT('설문지 응답 시트1'!$H$66:$H1000),""(^|[^A-Za-z0-9])""&amp;$D23&amp;""([^A-Za-z0-9]|$)""))),$A23=""비교과"",SUM(ARRAYFORMULA(--REGEXMATCH(TO_TEXT('설문지 응답 시트1'!$I$66:$J1000),""(^|[^A-Za-z0-9]"&amp;")""&amp;$D23&amp;""([^A-Za-z0-9]|$)""))),$A23=""진로"",SUM(ARRAYFORMULA(--REGEXMATCH(TO_TEXT('설문지 응답 시트1'!$K$66:$K1000),""(^|[^A-Za-z0-9])""&amp;$D23&amp;""([^A-Za-z0-9]|$)""))),TRUE,"""")))"),0)</x:f>
        <x:v>0</x:v>
      </x:c>
      <x:c r="H23" s="9" t="str">
        <x:f t="shared" si="0"/>
        <x:v>신청 가능</x:v>
      </x:c>
    </x:row>
    <x:row r="24" spans="1:8" ht="13.19999999999999928946">
      <x:c r="A24" s="8" t="s">
        <x:v>64</x:v>
      </x:c>
      <x:c r="B24" s="8" t="s">
        <x:v>43</x:v>
      </x:c>
      <x:c r="C24" s="11" t="s">
        <x:v>144</x:v>
      </x:c>
      <x:c r="D24" s="8" t="s">
        <x:v>58</x:v>
      </x:c>
      <x:c r="E24" s="8" t="s">
        <x:v>229</x:v>
      </x:c>
      <x:c r="F24" s="8">
        <x:v>20</x:v>
      </x:c>
      <x:c r="G24" s="9">
        <x:f>IFERROR(__xludf.DUMMYFUNCTION("IF($I24=TRUE,"""",IF($D24="""","""",IFS($A24=""월"",SUM(ARRAYFORMULA(--REGEXMATCH(TO_TEXT('설문지 응답 시트1'!$D$66:$D1000),""(^|[^A-Za-z0-9])""&amp;$D24&amp;""([^A-Za-z0-9]|$)""))),$A24=""화"",SUM(ARRAYFORMULA(--REGEXMATCH(TO_TEXT('설문지 응답 시트1'!$E$66:$E1000),""(^|[^A-Za-z"&amp;"0-9])""&amp;$D24&amp;""([^A-Za-z0-9]|$)""))),$A24=""금"",SUM(ARRAYFORMULA(--REGEXMATCH(TO_TEXT('설문지 응답 시트1'!$F$66:$F1000),""(^|[^A-Za-z0-9])""&amp;$D24&amp;""([^A-Za-z0-9]|$)""))),$A24=""토"",SUM(ARRAYFORMULA(--REGEXMATCH(TO_TEXT('설문지 응답 시트1'!$G$66:$G1000),""(^|[^A-Za-z0-9"&amp;"])""&amp;$D24&amp;""([^A-Za-z0-9]|$)""))),$A24=""일"",SUM(ARRAYFORMULA(--REGEXMATCH(TO_TEXT('설문지 응답 시트1'!$H$66:$H1000),""(^|[^A-Za-z0-9])""&amp;$D24&amp;""([^A-Za-z0-9]|$)""))),$A24=""비교과"",SUM(ARRAYFORMULA(--REGEXMATCH(TO_TEXT('설문지 응답 시트1'!$I$66:$J1000),""(^|[^A-Za-z0-9]"&amp;")""&amp;$D24&amp;""([^A-Za-z0-9]|$)""))),$A24=""진로"",SUM(ARRAYFORMULA(--REGEXMATCH(TO_TEXT('설문지 응답 시트1'!$K$66:$K1000),""(^|[^A-Za-z0-9])""&amp;$D24&amp;""([^A-Za-z0-9]|$)""))),TRUE,"""")))"),0)</x:f>
        <x:v>0</x:v>
      </x:c>
      <x:c r="H24" s="9" t="str">
        <x:f t="shared" si="0"/>
        <x:v>신청 가능</x:v>
      </x:c>
    </x:row>
    <x:row r="25" spans="1:8" ht="13.19999999999999928946">
      <x:c r="A25" s="8" t="s">
        <x:v>64</x:v>
      </x:c>
      <x:c r="B25" s="8" t="s">
        <x:v>43</x:v>
      </x:c>
      <x:c r="C25" s="11" t="s">
        <x:v>144</x:v>
      </x:c>
      <x:c r="D25" s="8" t="s">
        <x:v>62</x:v>
      </x:c>
      <x:c r="E25" s="8" t="s">
        <x:v>230</x:v>
      </x:c>
      <x:c r="F25" s="8">
        <x:v>20</x:v>
      </x:c>
      <x:c r="G25" s="9">
        <x:f>IFERROR(__xludf.DUMMYFUNCTION("IF($I25=TRUE,"""",IF($D25="""","""",IFS($A25=""월"",SUM(ARRAYFORMULA(--REGEXMATCH(TO_TEXT('설문지 응답 시트1'!$D$66:$D1000),""(^|[^A-Za-z0-9])""&amp;$D25&amp;""([^A-Za-z0-9]|$)""))),$A25=""화"",SUM(ARRAYFORMULA(--REGEXMATCH(TO_TEXT('설문지 응답 시트1'!$E$66:$E1000),""(^|[^A-Za-z"&amp;"0-9])""&amp;$D25&amp;""([^A-Za-z0-9]|$)""))),$A25=""금"",SUM(ARRAYFORMULA(--REGEXMATCH(TO_TEXT('설문지 응답 시트1'!$F$66:$F1000),""(^|[^A-Za-z0-9])""&amp;$D25&amp;""([^A-Za-z0-9]|$)""))),$A25=""토"",SUM(ARRAYFORMULA(--REGEXMATCH(TO_TEXT('설문지 응답 시트1'!$G$66:$G1000),""(^|[^A-Za-z0-9"&amp;"])""&amp;$D25&amp;""([^A-Za-z0-9]|$)""))),$A25=""일"",SUM(ARRAYFORMULA(--REGEXMATCH(TO_TEXT('설문지 응답 시트1'!$H$66:$H1000),""(^|[^A-Za-z0-9])""&amp;$D25&amp;""([^A-Za-z0-9]|$)""))),$A25=""비교과"",SUM(ARRAYFORMULA(--REGEXMATCH(TO_TEXT('설문지 응답 시트1'!$I$66:$J1000),""(^|[^A-Za-z0-9]"&amp;")""&amp;$D25&amp;""([^A-Za-z0-9]|$)""))),$A25=""진로"",SUM(ARRAYFORMULA(--REGEXMATCH(TO_TEXT('설문지 응답 시트1'!$K$66:$K1000),""(^|[^A-Za-z0-9])""&amp;$D25&amp;""([^A-Za-z0-9]|$)""))),TRUE,"""")))"),0)</x:f>
        <x:v>0</x:v>
      </x:c>
      <x:c r="H25" s="9" t="str">
        <x:f t="shared" si="0"/>
        <x:v>신청 가능</x:v>
      </x:c>
    </x:row>
    <x:row r="26" spans="1:8" ht="13.19999999999999928946">
      <x:c r="A26" s="8" t="s">
        <x:v>64</x:v>
      </x:c>
      <x:c r="B26" s="8" t="s">
        <x:v>43</x:v>
      </x:c>
      <x:c r="C26" s="11" t="s">
        <x:v>144</x:v>
      </x:c>
      <x:c r="D26" s="8" t="s">
        <x:v>57</x:v>
      </x:c>
      <x:c r="E26" s="8" t="s">
        <x:v>226</x:v>
      </x:c>
      <x:c r="F26" s="8">
        <x:v>20</x:v>
      </x:c>
      <x:c r="G26" s="9">
        <x:f>IFERROR(__xludf.DUMMYFUNCTION("IF($I26=TRUE,"""",IF($D26="""","""",IFS($A26=""월"",SUM(ARRAYFORMULA(--REGEXMATCH(TO_TEXT('설문지 응답 시트1'!$D$66:$D1000),""(^|[^A-Za-z0-9])""&amp;$D26&amp;""([^A-Za-z0-9]|$)""))),$A26=""화"",SUM(ARRAYFORMULA(--REGEXMATCH(TO_TEXT('설문지 응답 시트1'!$E$66:$E1000),""(^|[^A-Za-z"&amp;"0-9])""&amp;$D26&amp;""([^A-Za-z0-9]|$)""))),$A26=""금"",SUM(ARRAYFORMULA(--REGEXMATCH(TO_TEXT('설문지 응답 시트1'!$F$66:$F1000),""(^|[^A-Za-z0-9])""&amp;$D26&amp;""([^A-Za-z0-9]|$)""))),$A26=""토"",SUM(ARRAYFORMULA(--REGEXMATCH(TO_TEXT('설문지 응답 시트1'!$G$66:$G1000),""(^|[^A-Za-z0-9"&amp;"])""&amp;$D26&amp;""([^A-Za-z0-9]|$)""))),$A26=""일"",SUM(ARRAYFORMULA(--REGEXMATCH(TO_TEXT('설문지 응답 시트1'!$H$66:$H1000),""(^|[^A-Za-z0-9])""&amp;$D26&amp;""([^A-Za-z0-9]|$)""))),$A26=""비교과"",SUM(ARRAYFORMULA(--REGEXMATCH(TO_TEXT('설문지 응답 시트1'!$I$66:$J1000),""(^|[^A-Za-z0-9]"&amp;")""&amp;$D26&amp;""([^A-Za-z0-9]|$)""))),$A26=""진로"",SUM(ARRAYFORMULA(--REGEXMATCH(TO_TEXT('설문지 응답 시트1'!$K$66:$K1000),""(^|[^A-Za-z0-9])""&amp;$D26&amp;""([^A-Za-z0-9]|$)""))),TRUE,"""")))"),0)</x:f>
        <x:v>0</x:v>
      </x:c>
      <x:c r="H26" s="9" t="str">
        <x:f t="shared" si="0"/>
        <x:v>신청 가능</x:v>
      </x:c>
    </x:row>
    <x:row r="27" spans="1:8" ht="13.19999999999999928946">
      <x:c r="A27" s="8" t="s">
        <x:v>64</x:v>
      </x:c>
      <x:c r="B27" s="8" t="s">
        <x:v>43</x:v>
      </x:c>
      <x:c r="C27" s="11" t="s">
        <x:v>144</x:v>
      </x:c>
      <x:c r="D27" s="8" t="s">
        <x:v>54</x:v>
      </x:c>
      <x:c r="E27" s="8" t="s">
        <x:v>228</x:v>
      </x:c>
      <x:c r="F27" s="8">
        <x:v>20</x:v>
      </x:c>
      <x:c r="G27" s="9">
        <x:f>IFERROR(__xludf.DUMMYFUNCTION("IF($I27=TRUE,"""",IF($D27="""","""",IFS($A27=""월"",SUM(ARRAYFORMULA(--REGEXMATCH(TO_TEXT('설문지 응답 시트1'!$D$66:$D1000),""(^|[^A-Za-z0-9])""&amp;$D27&amp;""([^A-Za-z0-9]|$)""))),$A27=""화"",SUM(ARRAYFORMULA(--REGEXMATCH(TO_TEXT('설문지 응답 시트1'!$E$66:$E1000),""(^|[^A-Za-z"&amp;"0-9])""&amp;$D27&amp;""([^A-Za-z0-9]|$)""))),$A27=""금"",SUM(ARRAYFORMULA(--REGEXMATCH(TO_TEXT('설문지 응답 시트1'!$F$66:$F1000),""(^|[^A-Za-z0-9])""&amp;$D27&amp;""([^A-Za-z0-9]|$)""))),$A27=""토"",SUM(ARRAYFORMULA(--REGEXMATCH(TO_TEXT('설문지 응답 시트1'!$G$66:$G1000),""(^|[^A-Za-z0-9"&amp;"])""&amp;$D27&amp;""([^A-Za-z0-9]|$)""))),$A27=""일"",SUM(ARRAYFORMULA(--REGEXMATCH(TO_TEXT('설문지 응답 시트1'!$H$66:$H1000),""(^|[^A-Za-z0-9])""&amp;$D27&amp;""([^A-Za-z0-9]|$)""))),$A27=""비교과"",SUM(ARRAYFORMULA(--REGEXMATCH(TO_TEXT('설문지 응답 시트1'!$I$66:$J1000),""(^|[^A-Za-z0-9]"&amp;")""&amp;$D27&amp;""([^A-Za-z0-9]|$)""))),$A27=""진로"",SUM(ARRAYFORMULA(--REGEXMATCH(TO_TEXT('설문지 응답 시트1'!$K$66:$K1000),""(^|[^A-Za-z0-9])""&amp;$D27&amp;""([^A-Za-z0-9]|$)""))),TRUE,"""")))"),0)</x:f>
        <x:v>0</x:v>
      </x:c>
      <x:c r="H27" s="9" t="str">
        <x:f t="shared" si="0"/>
        <x:v>신청 가능</x:v>
      </x:c>
    </x:row>
    <x:row r="28" spans="1:9" ht="13.19999999999999928946">
      <x:c r="A28" s="8" t="s">
        <x:v>64</x:v>
      </x:c>
      <x:c r="B28" s="8" t="s">
        <x:v>43</x:v>
      </x:c>
      <x:c r="C28" s="11" t="s">
        <x:v>144</x:v>
      </x:c>
      <x:c r="E28" s="8" t="s">
        <x:v>39</x:v>
      </x:c>
      <x:c r="G28" s="9" t="str">
        <x:f>IFERROR(__xludf.DUMMYFUNCTION("IF($I28=TRUE,"""",IF($D28="""","""",IFS($A28=""월"",SUM(ARRAYFORMULA(--REGEXMATCH(TO_TEXT('설문지 응답 시트1'!$D$66:$D1000),""(^|[^A-Za-z0-9])""&amp;$D28&amp;""([^A-Za-z0-9]|$)""))),$A28=""화"",SUM(ARRAYFORMULA(--REGEXMATCH(TO_TEXT('설문지 응답 시트1'!$E$66:$E1000),""(^|[^A-Za-z"&amp;"0-9])""&amp;$D28&amp;""([^A-Za-z0-9]|$)""))),$A28=""금"",SUM(ARRAYFORMULA(--REGEXMATCH(TO_TEXT('설문지 응답 시트1'!$F$66:$F1000),""(^|[^A-Za-z0-9])""&amp;$D28&amp;""([^A-Za-z0-9]|$)""))),$A28=""토"",SUM(ARRAYFORMULA(--REGEXMATCH(TO_TEXT('설문지 응답 시트1'!$G$66:$G1000),""(^|[^A-Za-z0-9"&amp;"])""&amp;$D28&amp;""([^A-Za-z0-9]|$)""))),$A28=""일"",SUM(ARRAYFORMULA(--REGEXMATCH(TO_TEXT('설문지 응답 시트1'!$H$66:$H1000),""(^|[^A-Za-z0-9])""&amp;$D28&amp;""([^A-Za-z0-9]|$)""))),$A28=""비교과"",SUM(ARRAYFORMULA(--REGEXMATCH(TO_TEXT('설문지 응답 시트1'!$I$66:$J1000),""(^|[^A-Za-z0-9]"&amp;")""&amp;$D28&amp;""([^A-Za-z0-9]|$)""))),$A28=""진로"",SUM(ARRAYFORMULA(--REGEXMATCH(TO_TEXT('설문지 응답 시트1'!$K$66:$K1000),""(^|[^A-Za-z0-9])""&amp;$D28&amp;""([^A-Za-z0-9]|$)""))),TRUE,"""")))"),"")</x:f>
        <x:v/>
      </x:c>
      <x:c r="H28" s="9" t="str">
        <x:f t="shared" si="0"/>
        <x:v>항상 표시</x:v>
      </x:c>
      <x:c r="I28" s="8" t="b">
        <x:v>1</x:v>
      </x:c>
    </x:row>
    <x:row r="29" spans="1:8" ht="13.19999999999999928946">
      <x:c r="A29" s="8" t="s">
        <x:v>258</x:v>
      </x:c>
      <x:c r="B29" s="8" t="s">
        <x:v>156</x:v>
      </x:c>
      <x:c r="C29" s="11" t="s">
        <x:v>145</x:v>
      </x:c>
      <x:c r="D29" s="8" t="s">
        <x:v>37</x:v>
      </x:c>
      <x:c r="E29" s="8" t="s">
        <x:v>235</x:v>
      </x:c>
      <x:c r="F29" s="8">
        <x:v>6</x:v>
      </x:c>
      <x:c r="G29" s="9">
        <x:f>IFERROR(__xludf.DUMMYFUNCTION("IF($I29=TRUE,"""",IF($D29="""","""",IFS($A29=""월"",SUM(ARRAYFORMULA(--REGEXMATCH(TO_TEXT('설문지 응답 시트1'!$D$66:$D1000),""(^|[^A-Za-z0-9])""&amp;$D29&amp;""([^A-Za-z0-9]|$)""))),$A29=""화"",SUM(ARRAYFORMULA(--REGEXMATCH(TO_TEXT('설문지 응답 시트1'!$E$66:$E1000),""(^|[^A-Za-z"&amp;"0-9])""&amp;$D29&amp;""([^A-Za-z0-9]|$)""))),$A29=""금"",SUM(ARRAYFORMULA(--REGEXMATCH(TO_TEXT('설문지 응답 시트1'!$F$66:$F1000),""(^|[^A-Za-z0-9])""&amp;$D29&amp;""([^A-Za-z0-9]|$)""))),$A29=""토"",SUM(ARRAYFORMULA(--REGEXMATCH(TO_TEXT('설문지 응답 시트1'!$G$66:$G1000),""(^|[^A-Za-z0-9"&amp;"])""&amp;$D29&amp;""([^A-Za-z0-9]|$)""))),$A29=""일"",SUM(ARRAYFORMULA(--REGEXMATCH(TO_TEXT('설문지 응답 시트1'!$H$66:$H1000),""(^|[^A-Za-z0-9])""&amp;$D29&amp;""([^A-Za-z0-9]|$)""))),$A29=""비교과"",SUM(ARRAYFORMULA(--REGEXMATCH(TO_TEXT('설문지 응답 시트1'!$I$66:$J1000),""(^|[^A-Za-z0-9]"&amp;")""&amp;$D29&amp;""([^A-Za-z0-9]|$)""))),$A29=""진로"",SUM(ARRAYFORMULA(--REGEXMATCH(TO_TEXT('설문지 응답 시트1'!$K$66:$K1000),""(^|[^A-Za-z0-9])""&amp;$D29&amp;""([^A-Za-z0-9]|$)""))),TRUE,"""")))"),0)</x:f>
        <x:v>0</x:v>
      </x:c>
      <x:c r="H29" s="9" t="str">
        <x:f t="shared" si="0"/>
        <x:v>신청 가능</x:v>
      </x:c>
    </x:row>
    <x:row r="30" spans="1:8" ht="13.19999999999999928946">
      <x:c r="A30" s="8" t="s">
        <x:v>258</x:v>
      </x:c>
      <x:c r="B30" s="8" t="s">
        <x:v>156</x:v>
      </x:c>
      <x:c r="C30" s="11" t="s">
        <x:v>145</x:v>
      </x:c>
      <x:c r="D30" s="8" t="s">
        <x:v>24</x:v>
      </x:c>
      <x:c r="E30" s="8" t="s">
        <x:v>196</x:v>
      </x:c>
      <x:c r="F30" s="8">
        <x:v>6</x:v>
      </x:c>
      <x:c r="G30" s="9">
        <x:f>IFERROR(__xludf.DUMMYFUNCTION("IF($I30=TRUE,"""",IF($D30="""","""",IFS($A30=""월"",SUM(ARRAYFORMULA(--REGEXMATCH(TO_TEXT('설문지 응답 시트1'!$D$66:$D1000),""(^|[^A-Za-z0-9])""&amp;$D30&amp;""([^A-Za-z0-9]|$)""))),$A30=""화"",SUM(ARRAYFORMULA(--REGEXMATCH(TO_TEXT('설문지 응답 시트1'!$E$66:$E1000),""(^|[^A-Za-z"&amp;"0-9])""&amp;$D30&amp;""([^A-Za-z0-9]|$)""))),$A30=""금"",SUM(ARRAYFORMULA(--REGEXMATCH(TO_TEXT('설문지 응답 시트1'!$F$66:$F1000),""(^|[^A-Za-z0-9])""&amp;$D30&amp;""([^A-Za-z0-9]|$)""))),$A30=""토"",SUM(ARRAYFORMULA(--REGEXMATCH(TO_TEXT('설문지 응답 시트1'!$G$66:$G1000),""(^|[^A-Za-z0-9"&amp;"])""&amp;$D30&amp;""([^A-Za-z0-9]|$)""))),$A30=""일"",SUM(ARRAYFORMULA(--REGEXMATCH(TO_TEXT('설문지 응답 시트1'!$H$66:$H1000),""(^|[^A-Za-z0-9])""&amp;$D30&amp;""([^A-Za-z0-9]|$)""))),$A30=""비교과"",SUM(ARRAYFORMULA(--REGEXMATCH(TO_TEXT('설문지 응답 시트1'!$I$66:$J1000),""(^|[^A-Za-z0-9]"&amp;")""&amp;$D30&amp;""([^A-Za-z0-9]|$)""))),$A30=""진로"",SUM(ARRAYFORMULA(--REGEXMATCH(TO_TEXT('설문지 응답 시트1'!$K$66:$K1000),""(^|[^A-Za-z0-9])""&amp;$D30&amp;""([^A-Za-z0-9]|$)""))),TRUE,"""")))"),0)</x:f>
        <x:v>0</x:v>
      </x:c>
      <x:c r="H30" s="9" t="str">
        <x:f t="shared" si="0"/>
        <x:v>신청 가능</x:v>
      </x:c>
    </x:row>
    <x:row r="31" spans="1:8" ht="13.19999999999999928946">
      <x:c r="A31" s="8" t="s">
        <x:v>258</x:v>
      </x:c>
      <x:c r="B31" s="8" t="s">
        <x:v>156</x:v>
      </x:c>
      <x:c r="C31" s="11" t="s">
        <x:v>145</x:v>
      </x:c>
      <x:c r="D31" s="8" t="s">
        <x:v>19</x:v>
      </x:c>
      <x:c r="E31" s="8" t="s">
        <x:v>238</x:v>
      </x:c>
      <x:c r="F31" s="8">
        <x:v>6</x:v>
      </x:c>
      <x:c r="G31" s="9">
        <x:f>IFERROR(__xludf.DUMMYFUNCTION("IF($I31=TRUE,"""",IF($D31="""","""",IFS($A31=""월"",SUM(ARRAYFORMULA(--REGEXMATCH(TO_TEXT('설문지 응답 시트1'!$D$66:$D1000),""(^|[^A-Za-z0-9])""&amp;$D31&amp;""([^A-Za-z0-9]|$)""))),$A31=""화"",SUM(ARRAYFORMULA(--REGEXMATCH(TO_TEXT('설문지 응답 시트1'!$E$66:$E1000),""(^|[^A-Za-z"&amp;"0-9])""&amp;$D31&amp;""([^A-Za-z0-9]|$)""))),$A31=""금"",SUM(ARRAYFORMULA(--REGEXMATCH(TO_TEXT('설문지 응답 시트1'!$F$66:$F1000),""(^|[^A-Za-z0-9])""&amp;$D31&amp;""([^A-Za-z0-9]|$)""))),$A31=""토"",SUM(ARRAYFORMULA(--REGEXMATCH(TO_TEXT('설문지 응답 시트1'!$G$66:$G1000),""(^|[^A-Za-z0-9"&amp;"])""&amp;$D31&amp;""([^A-Za-z0-9]|$)""))),$A31=""일"",SUM(ARRAYFORMULA(--REGEXMATCH(TO_TEXT('설문지 응답 시트1'!$H$66:$H1000),""(^|[^A-Za-z0-9])""&amp;$D31&amp;""([^A-Za-z0-9]|$)""))),$A31=""비교과"",SUM(ARRAYFORMULA(--REGEXMATCH(TO_TEXT('설문지 응답 시트1'!$I$66:$J1000),""(^|[^A-Za-z0-9]"&amp;")""&amp;$D31&amp;""([^A-Za-z0-9]|$)""))),$A31=""진로"",SUM(ARRAYFORMULA(--REGEXMATCH(TO_TEXT('설문지 응답 시트1'!$K$66:$K1000),""(^|[^A-Za-z0-9])""&amp;$D31&amp;""([^A-Za-z0-9]|$)""))),TRUE,"""")))"),0)</x:f>
        <x:v>0</x:v>
      </x:c>
      <x:c r="H31" s="9" t="str">
        <x:f t="shared" si="0"/>
        <x:v>신청 가능</x:v>
      </x:c>
    </x:row>
    <x:row r="32" spans="1:8" ht="13.19999999999999928946">
      <x:c r="A32" s="8" t="s">
        <x:v>258</x:v>
      </x:c>
      <x:c r="B32" s="8" t="s">
        <x:v>156</x:v>
      </x:c>
      <x:c r="C32" s="11" t="s">
        <x:v>145</x:v>
      </x:c>
      <x:c r="D32" s="8" t="s">
        <x:v>26</x:v>
      </x:c>
      <x:c r="E32" s="8" t="s">
        <x:v>16</x:v>
      </x:c>
      <x:c r="F32" s="8">
        <x:v>6</x:v>
      </x:c>
      <x:c r="G32" s="9">
        <x:f>IFERROR(__xludf.DUMMYFUNCTION("IF($I32=TRUE,"""",IF($D32="""","""",IFS($A32=""월"",SUM(ARRAYFORMULA(--REGEXMATCH(TO_TEXT('설문지 응답 시트1'!$D$66:$D1000),""(^|[^A-Za-z0-9])""&amp;$D32&amp;""([^A-Za-z0-9]|$)""))),$A32=""화"",SUM(ARRAYFORMULA(--REGEXMATCH(TO_TEXT('설문지 응답 시트1'!$E$66:$E1000),""(^|[^A-Za-z"&amp;"0-9])""&amp;$D32&amp;""([^A-Za-z0-9]|$)""))),$A32=""금"",SUM(ARRAYFORMULA(--REGEXMATCH(TO_TEXT('설문지 응답 시트1'!$F$66:$F1000),""(^|[^A-Za-z0-9])""&amp;$D32&amp;""([^A-Za-z0-9]|$)""))),$A32=""토"",SUM(ARRAYFORMULA(--REGEXMATCH(TO_TEXT('설문지 응답 시트1'!$G$66:$G1000),""(^|[^A-Za-z0-9"&amp;"])""&amp;$D32&amp;""([^A-Za-z0-9]|$)""))),$A32=""일"",SUM(ARRAYFORMULA(--REGEXMATCH(TO_TEXT('설문지 응답 시트1'!$H$66:$H1000),""(^|[^A-Za-z0-9])""&amp;$D32&amp;""([^A-Za-z0-9]|$)""))),$A32=""비교과"",SUM(ARRAYFORMULA(--REGEXMATCH(TO_TEXT('설문지 응답 시트1'!$I$66:$J1000),""(^|[^A-Za-z0-9]"&amp;")""&amp;$D32&amp;""([^A-Za-z0-9]|$)""))),$A32=""진로"",SUM(ARRAYFORMULA(--REGEXMATCH(TO_TEXT('설문지 응답 시트1'!$K$66:$K1000),""(^|[^A-Za-z0-9])""&amp;$D32&amp;""([^A-Za-z0-9]|$)""))),TRUE,"""")))"),0)</x:f>
        <x:v>0</x:v>
      </x:c>
      <x:c r="H32" s="9" t="str">
        <x:f t="shared" si="0"/>
        <x:v>신청 가능</x:v>
      </x:c>
    </x:row>
    <x:row r="33" spans="1:8" ht="13.19999999999999928946">
      <x:c r="A33" s="8" t="s">
        <x:v>258</x:v>
      </x:c>
      <x:c r="B33" s="8" t="s">
        <x:v>156</x:v>
      </x:c>
      <x:c r="C33" s="11" t="s">
        <x:v>145</x:v>
      </x:c>
      <x:c r="D33" s="8" t="s">
        <x:v>27</x:v>
      </x:c>
      <x:c r="E33" s="8" t="s">
        <x:v>224</x:v>
      </x:c>
      <x:c r="F33" s="8">
        <x:v>6</x:v>
      </x:c>
      <x:c r="G33" s="9">
        <x:f>IFERROR(__xludf.DUMMYFUNCTION("IF($I33=TRUE,"""",IF($D33="""","""",IFS($A33=""월"",SUM(ARRAYFORMULA(--REGEXMATCH(TO_TEXT('설문지 응답 시트1'!$D$66:$D1000),""(^|[^A-Za-z0-9])""&amp;$D33&amp;""([^A-Za-z0-9]|$)""))),$A33=""화"",SUM(ARRAYFORMULA(--REGEXMATCH(TO_TEXT('설문지 응답 시트1'!$E$66:$E1000),""(^|[^A-Za-z"&amp;"0-9])""&amp;$D33&amp;""([^A-Za-z0-9]|$)""))),$A33=""금"",SUM(ARRAYFORMULA(--REGEXMATCH(TO_TEXT('설문지 응답 시트1'!$F$66:$F1000),""(^|[^A-Za-z0-9])""&amp;$D33&amp;""([^A-Za-z0-9]|$)""))),$A33=""토"",SUM(ARRAYFORMULA(--REGEXMATCH(TO_TEXT('설문지 응답 시트1'!$G$66:$G1000),""(^|[^A-Za-z0-9"&amp;"])""&amp;$D33&amp;""([^A-Za-z0-9]|$)""))),$A33=""일"",SUM(ARRAYFORMULA(--REGEXMATCH(TO_TEXT('설문지 응답 시트1'!$H$66:$H1000),""(^|[^A-Za-z0-9])""&amp;$D33&amp;""([^A-Za-z0-9]|$)""))),$A33=""비교과"",SUM(ARRAYFORMULA(--REGEXMATCH(TO_TEXT('설문지 응답 시트1'!$I$66:$J1000),""(^|[^A-Za-z0-9]"&amp;")""&amp;$D33&amp;""([^A-Za-z0-9]|$)""))),$A33=""진로"",SUM(ARRAYFORMULA(--REGEXMATCH(TO_TEXT('설문지 응답 시트1'!$K$66:$K1000),""(^|[^A-Za-z0-9])""&amp;$D33&amp;""([^A-Za-z0-9]|$)""))),TRUE,"""")))"),0)</x:f>
        <x:v>0</x:v>
      </x:c>
      <x:c r="H33" s="9" t="str">
        <x:f t="shared" si="0"/>
        <x:v>신청 가능</x:v>
      </x:c>
    </x:row>
    <x:row r="34" spans="1:8" ht="13.19999999999999928946">
      <x:c r="A34" s="8" t="s">
        <x:v>258</x:v>
      </x:c>
      <x:c r="B34" s="8" t="s">
        <x:v>156</x:v>
      </x:c>
      <x:c r="C34" s="11" t="s">
        <x:v>145</x:v>
      </x:c>
      <x:c r="D34" s="8" t="s">
        <x:v>38</x:v>
      </x:c>
      <x:c r="E34" s="8" t="s">
        <x:v>197</x:v>
      </x:c>
      <x:c r="F34" s="8">
        <x:v>6</x:v>
      </x:c>
      <x:c r="G34" s="9">
        <x:f>IFERROR(__xludf.DUMMYFUNCTION("IF($I34=TRUE,"""",IF($D34="""","""",IFS($A34=""월"",SUM(ARRAYFORMULA(--REGEXMATCH(TO_TEXT('설문지 응답 시트1'!$D$66:$D1000),""(^|[^A-Za-z0-9])""&amp;$D34&amp;""([^A-Za-z0-9]|$)""))),$A34=""화"",SUM(ARRAYFORMULA(--REGEXMATCH(TO_TEXT('설문지 응답 시트1'!$E$66:$E1000),""(^|[^A-Za-z"&amp;"0-9])""&amp;$D34&amp;""([^A-Za-z0-9]|$)""))),$A34=""금"",SUM(ARRAYFORMULA(--REGEXMATCH(TO_TEXT('설문지 응답 시트1'!$F$66:$F1000),""(^|[^A-Za-z0-9])""&amp;$D34&amp;""([^A-Za-z0-9]|$)""))),$A34=""토"",SUM(ARRAYFORMULA(--REGEXMATCH(TO_TEXT('설문지 응답 시트1'!$G$66:$G1000),""(^|[^A-Za-z0-9"&amp;"])""&amp;$D34&amp;""([^A-Za-z0-9]|$)""))),$A34=""일"",SUM(ARRAYFORMULA(--REGEXMATCH(TO_TEXT('설문지 응답 시트1'!$H$66:$H1000),""(^|[^A-Za-z0-9])""&amp;$D34&amp;""([^A-Za-z0-9]|$)""))),$A34=""비교과"",SUM(ARRAYFORMULA(--REGEXMATCH(TO_TEXT('설문지 응답 시트1'!$I$66:$J1000),""(^|[^A-Za-z0-9]"&amp;")""&amp;$D34&amp;""([^A-Za-z0-9]|$)""))),$A34=""진로"",SUM(ARRAYFORMULA(--REGEXMATCH(TO_TEXT('설문지 응답 시트1'!$K$66:$K1000),""(^|[^A-Za-z0-9])""&amp;$D34&amp;""([^A-Za-z0-9]|$)""))),TRUE,"""")))"),0)</x:f>
        <x:v>0</x:v>
      </x:c>
      <x:c r="H34" s="9" t="str">
        <x:f t="shared" si="0"/>
        <x:v>신청 가능</x:v>
      </x:c>
    </x:row>
    <x:row r="35" spans="1:9" ht="13.19999999999999928946">
      <x:c r="A35" s="8" t="s">
        <x:v>258</x:v>
      </x:c>
      <x:c r="B35" s="8" t="s">
        <x:v>156</x:v>
      </x:c>
      <x:c r="C35" s="11" t="s">
        <x:v>145</x:v>
      </x:c>
      <x:c r="E35" s="8" t="s">
        <x:v>22</x:v>
      </x:c>
      <x:c r="G35" s="9" t="str">
        <x:f>IFERROR(__xludf.DUMMYFUNCTION("IF($I35=TRUE,"""",IF($D35="""","""",IFS($A35=""월"",SUM(ARRAYFORMULA(--REGEXMATCH(TO_TEXT('설문지 응답 시트1'!$D$66:$D1000),""(^|[^A-Za-z0-9])""&amp;$D35&amp;""([^A-Za-z0-9]|$)""))),$A35=""화"",SUM(ARRAYFORMULA(--REGEXMATCH(TO_TEXT('설문지 응답 시트1'!$E$66:$E1000),""(^|[^A-Za-z"&amp;"0-9])""&amp;$D35&amp;""([^A-Za-z0-9]|$)""))),$A35=""금"",SUM(ARRAYFORMULA(--REGEXMATCH(TO_TEXT('설문지 응답 시트1'!$F$66:$F1000),""(^|[^A-Za-z0-9])""&amp;$D35&amp;""([^A-Za-z0-9]|$)""))),$A35=""토"",SUM(ARRAYFORMULA(--REGEXMATCH(TO_TEXT('설문지 응답 시트1'!$G$66:$G1000),""(^|[^A-Za-z0-9"&amp;"])""&amp;$D35&amp;""([^A-Za-z0-9]|$)""))),$A35=""일"",SUM(ARRAYFORMULA(--REGEXMATCH(TO_TEXT('설문지 응답 시트1'!$H$66:$H1000),""(^|[^A-Za-z0-9])""&amp;$D35&amp;""([^A-Za-z0-9]|$)""))),$A35=""비교과"",SUM(ARRAYFORMULA(--REGEXMATCH(TO_TEXT('설문지 응답 시트1'!$I$66:$J1000),""(^|[^A-Za-z0-9]"&amp;")""&amp;$D35&amp;""([^A-Za-z0-9]|$)""))),$A35=""진로"",SUM(ARRAYFORMULA(--REGEXMATCH(TO_TEXT('설문지 응답 시트1'!$K$66:$K1000),""(^|[^A-Za-z0-9])""&amp;$D35&amp;""([^A-Za-z0-9]|$)""))),TRUE,"""")))"),"")</x:f>
        <x:v/>
      </x:c>
      <x:c r="H35" s="9" t="str">
        <x:f t="shared" si="0"/>
        <x:v>항상 표시</x:v>
      </x:c>
      <x:c r="I35" s="8" t="b">
        <x:v>1</x:v>
      </x:c>
    </x:row>
    <x:row r="36" spans="1:8" ht="13.19999999999999928946">
      <x:c r="A36" s="8" t="s">
        <x:v>262</x:v>
      </x:c>
      <x:c r="B36" s="8" t="s">
        <x:v>215</x:v>
      </x:c>
      <x:c r="C36" s="11" t="s">
        <x:v>146</x:v>
      </x:c>
      <x:c r="D36" s="8" t="s">
        <x:v>256</x:v>
      </x:c>
      <x:c r="E36" s="8" t="s">
        <x:v>153</x:v>
      </x:c>
      <x:c r="F36" s="8">
        <x:v>6</x:v>
      </x:c>
      <x:c r="G36" s="9">
        <x:f>IFERROR(__xludf.DUMMYFUNCTION("IF($I36=TRUE,"""",IF($D36="""","""",IFS($A36=""월"",SUM(ARRAYFORMULA(--REGEXMATCH(TO_TEXT('설문지 응답 시트1'!$D$66:$D1000),""(^|[^A-Za-z0-9])""&amp;$D36&amp;""([^A-Za-z0-9]|$)""))),$A36=""화"",SUM(ARRAYFORMULA(--REGEXMATCH(TO_TEXT('설문지 응답 시트1'!$E$66:$E1000),""(^|[^A-Za-z"&amp;"0-9])""&amp;$D36&amp;""([^A-Za-z0-9]|$)""))),$A36=""금"",SUM(ARRAYFORMULA(--REGEXMATCH(TO_TEXT('설문지 응답 시트1'!$F$66:$F1000),""(^|[^A-Za-z0-9])""&amp;$D36&amp;""([^A-Za-z0-9]|$)""))),$A36=""토"",SUM(ARRAYFORMULA(--REGEXMATCH(TO_TEXT('설문지 응답 시트1'!$G$66:$G1000),""(^|[^A-Za-z0-9"&amp;"])""&amp;$D36&amp;""([^A-Za-z0-9]|$)""))),$A36=""일"",SUM(ARRAYFORMULA(--REGEXMATCH(TO_TEXT('설문지 응답 시트1'!$H$66:$H1000),""(^|[^A-Za-z0-9])""&amp;$D36&amp;""([^A-Za-z0-9]|$)""))),$A36=""비교과"",SUM(ARRAYFORMULA(--REGEXMATCH(TO_TEXT('설문지 응답 시트1'!$I$66:$J1000),""(^|[^A-Za-z0-9]"&amp;")""&amp;$D36&amp;""([^A-Za-z0-9]|$)""))),$A36=""진로"",SUM(ARRAYFORMULA(--REGEXMATCH(TO_TEXT('설문지 응답 시트1'!$K$66:$K1000),""(^|[^A-Za-z0-9])""&amp;$D36&amp;""([^A-Za-z0-9]|$)""))),TRUE,"""")))"),0)</x:f>
        <x:v>0</x:v>
      </x:c>
      <x:c r="H36" s="9" t="str">
        <x:f t="shared" si="0"/>
        <x:v>신청 가능</x:v>
      </x:c>
    </x:row>
    <x:row r="37" spans="1:8" ht="13.19999999999999928946">
      <x:c r="A37" s="8" t="s">
        <x:v>262</x:v>
      </x:c>
      <x:c r="B37" s="8" t="s">
        <x:v>215</x:v>
      </x:c>
      <x:c r="C37" s="11" t="s">
        <x:v>146</x:v>
      </x:c>
      <x:c r="D37" s="8" t="s">
        <x:v>247</x:v>
      </x:c>
      <x:c r="E37" s="8" t="s">
        <x:v>223</x:v>
      </x:c>
      <x:c r="F37" s="8">
        <x:v>6</x:v>
      </x:c>
      <x:c r="G37" s="9">
        <x:f>IFERROR(__xludf.DUMMYFUNCTION("IF($I37=TRUE,"""",IF($D37="""","""",IFS($A37=""월"",SUM(ARRAYFORMULA(--REGEXMATCH(TO_TEXT('설문지 응답 시트1'!$D$66:$D1000),""(^|[^A-Za-z0-9])""&amp;$D37&amp;""([^A-Za-z0-9]|$)""))),$A37=""화"",SUM(ARRAYFORMULA(--REGEXMATCH(TO_TEXT('설문지 응답 시트1'!$E$66:$E1000),""(^|[^A-Za-z"&amp;"0-9])""&amp;$D37&amp;""([^A-Za-z0-9]|$)""))),$A37=""금"",SUM(ARRAYFORMULA(--REGEXMATCH(TO_TEXT('설문지 응답 시트1'!$F$66:$F1000),""(^|[^A-Za-z0-9])""&amp;$D37&amp;""([^A-Za-z0-9]|$)""))),$A37=""토"",SUM(ARRAYFORMULA(--REGEXMATCH(TO_TEXT('설문지 응답 시트1'!$G$66:$G1000),""(^|[^A-Za-z0-9"&amp;"])""&amp;$D37&amp;""([^A-Za-z0-9]|$)""))),$A37=""일"",SUM(ARRAYFORMULA(--REGEXMATCH(TO_TEXT('설문지 응답 시트1'!$H$66:$H1000),""(^|[^A-Za-z0-9])""&amp;$D37&amp;""([^A-Za-z0-9]|$)""))),$A37=""비교과"",SUM(ARRAYFORMULA(--REGEXMATCH(TO_TEXT('설문지 응답 시트1'!$I$66:$J1000),""(^|[^A-Za-z0-9]"&amp;")""&amp;$D37&amp;""([^A-Za-z0-9]|$)""))),$A37=""진로"",SUM(ARRAYFORMULA(--REGEXMATCH(TO_TEXT('설문지 응답 시트1'!$K$66:$K1000),""(^|[^A-Za-z0-9])""&amp;$D37&amp;""([^A-Za-z0-9]|$)""))),TRUE,"""")))"),0)</x:f>
        <x:v>0</x:v>
      </x:c>
      <x:c r="H37" s="9" t="str">
        <x:f t="shared" si="0"/>
        <x:v>신청 가능</x:v>
      </x:c>
    </x:row>
    <x:row r="38" spans="1:9" ht="13.19999999999999928946">
      <x:c r="A38" s="8" t="s">
        <x:v>262</x:v>
      </x:c>
      <x:c r="B38" s="8" t="s">
        <x:v>215</x:v>
      </x:c>
      <x:c r="C38" s="11" t="s">
        <x:v>146</x:v>
      </x:c>
      <x:c r="E38" s="8" t="s">
        <x:v>22</x:v>
      </x:c>
      <x:c r="G38" s="9" t="str">
        <x:f>IFERROR(__xludf.DUMMYFUNCTION("IF($I38=TRUE,"""",IF($D38="""","""",IFS($A38=""월"",SUM(ARRAYFORMULA(--REGEXMATCH(TO_TEXT('설문지 응답 시트1'!$D$66:$D1000),""(^|[^A-Za-z0-9])""&amp;$D38&amp;""([^A-Za-z0-9]|$)""))),$A38=""화"",SUM(ARRAYFORMULA(--REGEXMATCH(TO_TEXT('설문지 응답 시트1'!$E$66:$E1000),""(^|[^A-Za-z"&amp;"0-9])""&amp;$D38&amp;""([^A-Za-z0-9]|$)""))),$A38=""금"",SUM(ARRAYFORMULA(--REGEXMATCH(TO_TEXT('설문지 응답 시트1'!$F$66:$F1000),""(^|[^A-Za-z0-9])""&amp;$D38&amp;""([^A-Za-z0-9]|$)""))),$A38=""토"",SUM(ARRAYFORMULA(--REGEXMATCH(TO_TEXT('설문지 응답 시트1'!$G$66:$G1000),""(^|[^A-Za-z0-9"&amp;"])""&amp;$D38&amp;""([^A-Za-z0-9]|$)""))),$A38=""일"",SUM(ARRAYFORMULA(--REGEXMATCH(TO_TEXT('설문지 응답 시트1'!$H$66:$H1000),""(^|[^A-Za-z0-9])""&amp;$D38&amp;""([^A-Za-z0-9]|$)""))),$A38=""비교과"",SUM(ARRAYFORMULA(--REGEXMATCH(TO_TEXT('설문지 응답 시트1'!$I$66:$J1000),""(^|[^A-Za-z0-9]"&amp;")""&amp;$D38&amp;""([^A-Za-z0-9]|$)""))),$A38=""진로"",SUM(ARRAYFORMULA(--REGEXMATCH(TO_TEXT('설문지 응답 시트1'!$K$66:$K1000),""(^|[^A-Za-z0-9])""&amp;$D38&amp;""([^A-Za-z0-9]|$)""))),TRUE,"""")))"),"")</x:f>
        <x:v/>
      </x:c>
      <x:c r="H38" s="9" t="str">
        <x:f t="shared" si="0"/>
        <x:v>항상 표시</x:v>
      </x:c>
      <x:c r="I38" s="8" t="b">
        <x:v>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8" baseType="lpstr">
      <vt:lpstr>설문지 응답 시트1</vt:lpstr>
      <vt:lpstr>월</vt:lpstr>
      <vt:lpstr>화</vt:lpstr>
      <vt:lpstr>금</vt:lpstr>
      <vt:lpstr>토</vt:lpstr>
      <vt:lpstr>일</vt:lpstr>
      <vt:lpstr>특강</vt:lpstr>
      <vt:lpstr>선택지관리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황광희</cp:lastModifiedBy>
  <cp:revision>2</cp:revision>
  <dcterms:created xsi:type="dcterms:W3CDTF">2026-07-17T10:35:36.927</dcterms:created>
  <dcterms:modified xsi:type="dcterms:W3CDTF">2026-07-17T10:47:51.344</dcterms:modified>
  <cp:version>1300.0100.01</cp:version>
</cp:coreProperties>
</file>